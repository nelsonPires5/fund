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DCF Mode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 Table" sheetId="6" state="visible" r:id="rId6"/>
    <sheet xmlns:r="http://schemas.openxmlformats.org/officeDocument/2006/relationships" name="Thesis Tracker" sheetId="7" state="visible" r:id="rId7"/>
    <sheet xmlns:r="http://schemas.openxmlformats.org/officeDocument/2006/relationships" name="DCF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$#,##0"/>
    <numFmt numFmtId="167" formatCode="$#,##0.00"/>
    <numFmt numFmtId="168" formatCode="0.0x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3864"/>
      <sz val="11"/>
    </font>
    <font>
      <name val="Calibri"/>
      <b val="1"/>
      <color rgb="001F3864"/>
      <sz val="10"/>
    </font>
    <font>
      <name val="Calibri"/>
      <b val="1"/>
      <color rgb="00FFFFFF"/>
      <sz val="9"/>
    </font>
    <font>
      <name val="Calibri"/>
      <b val="1"/>
      <color rgb="00404040"/>
      <sz val="10"/>
    </font>
    <font>
      <name val="Calibri"/>
      <color rgb="001A1A1A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6400"/>
      <sz val="9"/>
    </font>
    <font>
      <name val="Calibri"/>
      <color rgb="008B0000"/>
      <sz val="9"/>
    </font>
    <font>
      <name val="Calibri"/>
      <i val="1"/>
      <color rgb="00595959"/>
      <sz val="8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95959"/>
      <sz val="9"/>
    </font>
    <font>
      <name val="Calibri"/>
      <color rgb="00404040"/>
      <sz val="9"/>
    </font>
    <font>
      <name val="Calibri"/>
      <b val="1"/>
      <color rgb="008B0000"/>
      <sz val="10"/>
    </font>
    <font>
      <name val="Calibri"/>
      <color rgb="008B0000"/>
      <sz val="10"/>
    </font>
    <font>
      <name val="Calibri"/>
      <b val="1"/>
      <color rgb="001A5276"/>
      <sz val="10"/>
    </font>
    <font>
      <name val="Calibri"/>
      <color rgb="001A5276"/>
      <sz val="10"/>
    </font>
    <font>
      <name val="Calibri"/>
      <b val="1"/>
      <color rgb="001B5E20"/>
      <sz val="10"/>
    </font>
    <font>
      <name val="Calibri"/>
      <color rgb="001B5E20"/>
      <sz val="10"/>
    </font>
    <font>
      <name val="Calibri"/>
      <color rgb="00404040"/>
      <sz val="10"/>
    </font>
    <font>
      <name val="Calibri"/>
      <b val="1"/>
      <color rgb="000000FF"/>
      <sz val="10"/>
    </font>
    <font>
      <name val="Calibri"/>
      <b val="1"/>
      <color rgb="001F3864"/>
      <sz val="11"/>
    </font>
    <font>
      <name val="Calibri"/>
      <i val="1"/>
      <color rgb="008B4513"/>
      <sz val="9"/>
    </font>
    <font>
      <name val="Calibri"/>
      <color rgb="009C0006"/>
      <sz val="10"/>
    </font>
    <font>
      <name val="Calibri"/>
      <color rgb="009C6500"/>
      <sz val="10"/>
    </font>
    <font>
      <name val="Calibri"/>
      <b val="1"/>
      <color rgb="001F3864"/>
      <sz val="14"/>
    </font>
    <font>
      <name val="Calibri"/>
      <b val="1"/>
      <color rgb="001A1A1A"/>
      <sz val="10"/>
    </font>
    <font>
      <name val="Calibri"/>
      <b val="1"/>
      <color rgb="009C6500"/>
      <sz val="10"/>
    </font>
    <font>
      <name val="Calibri"/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FF8"/>
      </patternFill>
    </fill>
    <fill>
      <patternFill patternType="solid">
        <fgColor rgb="00DEEAF1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FAFBFD"/>
      </patternFill>
    </fill>
    <fill>
      <patternFill patternType="solid">
        <fgColor rgb="00F0FFF0"/>
      </patternFill>
    </fill>
    <fill>
      <patternFill patternType="solid">
        <fgColor rgb="00FFF8F8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5FAFF"/>
      </patternFill>
    </fill>
    <fill>
      <patternFill patternType="solid">
        <fgColor rgb="00FFEBE6"/>
      </patternFill>
    </fill>
    <fill>
      <patternFill patternType="solid">
        <fgColor rgb="00EBF3E8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D5E8F5"/>
      </patternFill>
    </fill>
    <fill>
      <patternFill patternType="solid">
        <fgColor rgb="00EAF3FA"/>
      </patternFill>
    </fill>
    <fill>
      <patternFill patternType="solid">
        <fgColor rgb="00FFFBF0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FF8D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0F7FF"/>
      </patternFill>
    </fill>
    <fill>
      <patternFill patternType="solid">
        <fgColor rgb="00F0FFF4"/>
      </patternFill>
    </fill>
    <fill>
      <patternFill patternType="solid">
        <fgColor rgb="00FFFEF0"/>
      </patternFill>
    </fill>
    <fill>
      <patternFill patternType="solid">
        <fgColor rgb="008B0000"/>
      </patternFill>
    </fill>
    <fill>
      <patternFill patternType="solid">
        <fgColor rgb="00FFF9E6"/>
      </patternFill>
    </fill>
    <fill>
      <patternFill patternType="solid">
        <fgColor rgb="00E8EAF6"/>
      </patternFill>
    </fill>
    <fill>
      <patternFill patternType="solid">
        <fgColor rgb="00F0F4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 indent="1"/>
    </xf>
    <xf numFmtId="0" fontId="11" fillId="9" borderId="1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4" fillId="2" borderId="0" applyAlignment="1" pivotButton="0" quotePrefix="0" xfId="0">
      <alignment horizontal="left" vertical="center" indent="1"/>
    </xf>
    <xf numFmtId="0" fontId="14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 indent="1"/>
    </xf>
    <xf numFmtId="3" fontId="8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3" fontId="7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indent="1"/>
    </xf>
    <xf numFmtId="164" fontId="17" fillId="12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indent="1"/>
    </xf>
    <xf numFmtId="3" fontId="19" fillId="13" borderId="1" applyAlignment="1" pivotButton="0" quotePrefix="0" xfId="0">
      <alignment horizontal="center" vertical="center"/>
    </xf>
    <xf numFmtId="0" fontId="20" fillId="14" borderId="1" applyAlignment="1" pivotButton="0" quotePrefix="0" xfId="0">
      <alignment horizontal="left" vertical="center" indent="1"/>
    </xf>
    <xf numFmtId="3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left" vertical="center" indent="1"/>
    </xf>
    <xf numFmtId="3" fontId="23" fillId="1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indent="1"/>
    </xf>
    <xf numFmtId="0" fontId="16" fillId="16" borderId="1" applyAlignment="1" pivotButton="0" quotePrefix="0" xfId="0">
      <alignment horizontal="left" vertical="center" indent="1"/>
    </xf>
    <xf numFmtId="0" fontId="8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3" fontId="8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indent="1"/>
    </xf>
    <xf numFmtId="3" fontId="7" fillId="17" borderId="1" applyAlignment="1" pivotButton="0" quotePrefix="0" xfId="0">
      <alignment horizontal="center" vertical="center"/>
    </xf>
    <xf numFmtId="3" fontId="3" fillId="17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left" vertical="center" indent="1"/>
    </xf>
    <xf numFmtId="0" fontId="8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left" vertical="center" indent="1"/>
    </xf>
    <xf numFmtId="0" fontId="25" fillId="1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left" vertical="center" indent="1"/>
    </xf>
    <xf numFmtId="3" fontId="8" fillId="20" borderId="1" applyAlignment="1" pivotButton="0" quotePrefix="0" xfId="0">
      <alignment horizontal="center" vertical="center"/>
    </xf>
    <xf numFmtId="3" fontId="9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26" fillId="21" borderId="1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wrapText="1" indent="1"/>
    </xf>
    <xf numFmtId="0" fontId="7" fillId="4" borderId="1" applyAlignment="1" pivotButton="0" quotePrefix="0" xfId="0">
      <alignment horizontal="center" vertical="center"/>
    </xf>
    <xf numFmtId="166" fontId="28" fillId="23" borderId="1" applyAlignment="1" pivotButton="0" quotePrefix="0" xfId="0">
      <alignment horizontal="center" vertical="center"/>
    </xf>
    <xf numFmtId="166" fontId="3" fillId="2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6" fontId="29" fillId="2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 indent="1"/>
    </xf>
    <xf numFmtId="167" fontId="3" fillId="17" borderId="1" applyAlignment="1" pivotButton="0" quotePrefix="0" xfId="0">
      <alignment horizontal="center" vertical="center"/>
    </xf>
    <xf numFmtId="164" fontId="3" fillId="17" borderId="1" applyAlignment="1" pivotButton="0" quotePrefix="0" xfId="0">
      <alignment horizontal="center" vertical="center"/>
    </xf>
    <xf numFmtId="168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167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 indent="1"/>
    </xf>
    <xf numFmtId="0" fontId="7" fillId="18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168" fontId="7" fillId="18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left" vertical="center" indent="1"/>
    </xf>
    <xf numFmtId="0" fontId="7" fillId="26" borderId="1" applyAlignment="1" pivotButton="0" quotePrefix="0" xfId="0">
      <alignment horizontal="center" vertical="center"/>
    </xf>
    <xf numFmtId="168" fontId="7" fillId="2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wrapText="1" indent="1"/>
    </xf>
    <xf numFmtId="0" fontId="30" fillId="0" borderId="0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left" vertical="top" wrapText="1" indent="1"/>
    </xf>
    <xf numFmtId="0" fontId="8" fillId="20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top" wrapText="1" indent="1"/>
    </xf>
    <xf numFmtId="0" fontId="8" fillId="12" borderId="1" applyAlignment="1" pivotButton="0" quotePrefix="0" xfId="0">
      <alignment horizontal="left" vertical="top" wrapText="1" indent="1"/>
    </xf>
    <xf numFmtId="0" fontId="7" fillId="21" borderId="1" applyAlignment="1" pivotButton="0" quotePrefix="0" xfId="0">
      <alignment horizontal="left" vertical="top" wrapText="1" indent="1"/>
    </xf>
    <xf numFmtId="0" fontId="7" fillId="27" borderId="1" applyAlignment="1" pivotButton="0" quotePrefix="0" xfId="0">
      <alignment horizontal="left" vertical="top" wrapText="1" indent="1"/>
    </xf>
    <xf numFmtId="0" fontId="8" fillId="27" borderId="1" applyAlignment="1" pivotButton="0" quotePrefix="0" xfId="0">
      <alignment horizontal="left" vertical="top" wrapText="1" indent="1"/>
    </xf>
    <xf numFmtId="0" fontId="7" fillId="28" borderId="1" applyAlignment="1" pivotButton="0" quotePrefix="0" xfId="0">
      <alignment horizontal="left" vertical="top" wrapText="1" indent="1"/>
    </xf>
    <xf numFmtId="0" fontId="8" fillId="28" borderId="1" applyAlignment="1" pivotButton="0" quotePrefix="0" xfId="0">
      <alignment horizontal="left" vertical="top" wrapText="1" indent="1"/>
    </xf>
    <xf numFmtId="0" fontId="14" fillId="29" borderId="0" applyAlignment="1" pivotButton="0" quotePrefix="0" xfId="0">
      <alignment horizontal="center" vertical="center"/>
    </xf>
    <xf numFmtId="0" fontId="31" fillId="9" borderId="1" applyAlignment="1" pivotButton="0" quotePrefix="0" xfId="0">
      <alignment horizontal="left" vertical="top" wrapText="1" indent="1"/>
    </xf>
    <xf numFmtId="0" fontId="6" fillId="9" borderId="1" applyAlignment="1" pivotButton="0" quotePrefix="0" xfId="0">
      <alignment horizontal="left" vertical="top" wrapText="1" indent="1"/>
    </xf>
    <xf numFmtId="0" fontId="18" fillId="23" borderId="1" applyAlignment="1" pivotButton="0" quotePrefix="0" xfId="0">
      <alignment horizontal="left" vertical="top" wrapText="1" indent="1"/>
    </xf>
    <xf numFmtId="0" fontId="32" fillId="25" borderId="1" applyAlignment="1" pivotButton="0" quotePrefix="0" xfId="0">
      <alignment horizontal="left" vertical="top" wrapText="1" indent="1"/>
    </xf>
    <xf numFmtId="0" fontId="7" fillId="20" borderId="1" applyAlignment="1" pivotButton="0" quotePrefix="0" xfId="0">
      <alignment horizontal="left" vertical="top" wrapText="1" indent="1"/>
    </xf>
    <xf numFmtId="0" fontId="8" fillId="15" borderId="1" applyAlignment="1" pivotButton="0" quotePrefix="0" xfId="0">
      <alignment horizontal="left" vertical="top" wrapText="1" indent="1"/>
    </xf>
    <xf numFmtId="0" fontId="8" fillId="30" borderId="1" applyAlignment="1" pivotButton="0" quotePrefix="0" xfId="0">
      <alignment horizontal="left" vertical="top" wrapText="1" indent="1"/>
    </xf>
    <xf numFmtId="0" fontId="8" fillId="31" borderId="1" applyAlignment="1" pivotButton="0" quotePrefix="0" xfId="0">
      <alignment horizontal="left" vertical="top" wrapText="1" indent="1"/>
    </xf>
    <xf numFmtId="0" fontId="33" fillId="10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7" fillId="12" borderId="1" applyAlignment="1" pivotButton="0" quotePrefix="0" xfId="0">
      <alignment horizontal="center" vertical="top" wrapText="1" indent="1"/>
    </xf>
    <xf numFmtId="0" fontId="9" fillId="19" borderId="1" applyAlignment="1" pivotButton="0" quotePrefix="0" xfId="0">
      <alignment horizontal="center" vertical="top" wrapText="1" indent="1"/>
    </xf>
    <xf numFmtId="0" fontId="8" fillId="32" borderId="1" applyAlignment="1" pivotButton="0" quotePrefix="0" xfId="0">
      <alignment horizontal="center" vertical="top" wrapText="1" indent="1"/>
    </xf>
    <xf numFmtId="0" fontId="12" fillId="2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J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8" customHeight="1"/>
    <row r="2" ht="40" customHeight="1">
      <c r="B2" s="1" t="inlineStr">
        <is>
          <t>COHERENT CORP (NYSE: COHR) — INITIATING COVERAGE</t>
        </is>
      </c>
    </row>
    <row r="3" ht="18" customHeight="1">
      <c r="B3" s="2" t="inlineStr">
        <is>
          <t>Equity Research — Initiating Coverage  |  Rating: BUY  |  Price Target: $460  |  Current Price: $379.59  |  Upside: +21%</t>
        </is>
      </c>
    </row>
    <row r="5" ht="18" customHeight="1">
      <c r="B5" s="3" t="inlineStr">
        <is>
          <t>STOCK &amp; VALUATION SNAPSHOT</t>
        </is>
      </c>
    </row>
    <row r="6" ht="20" customHeight="1">
      <c r="B6" s="4" t="inlineStr">
        <is>
          <t>Metric</t>
        </is>
      </c>
      <c r="C6" s="4" t="inlineStr">
        <is>
          <t>Value</t>
        </is>
      </c>
      <c r="D6" s="4" t="inlineStr">
        <is>
          <t>Metric</t>
        </is>
      </c>
      <c r="E6" s="4" t="inlineStr">
        <is>
          <t>Value</t>
        </is>
      </c>
      <c r="F6" s="4" t="inlineStr">
        <is>
          <t>Metric</t>
        </is>
      </c>
      <c r="G6" s="4" t="inlineStr">
        <is>
          <t>Value</t>
        </is>
      </c>
      <c r="H6" s="4" t="inlineStr">
        <is>
          <t>Metric</t>
        </is>
      </c>
      <c r="I6" s="4" t="inlineStr">
        <is>
          <t>Value</t>
        </is>
      </c>
    </row>
    <row r="7" ht="17" customHeight="1">
      <c r="B7" s="5" t="inlineStr">
        <is>
          <t>Current Price</t>
        </is>
      </c>
      <c r="C7" s="6" t="inlineStr">
        <is>
          <t>$379.59</t>
        </is>
      </c>
      <c r="D7" s="5" t="inlineStr">
        <is>
          <t>Market Cap</t>
        </is>
      </c>
      <c r="E7" s="6" t="inlineStr">
        <is>
          <t>$60.2B</t>
        </is>
      </c>
      <c r="F7" s="5" t="inlineStr">
        <is>
          <t>Enterprise Value (FY25)</t>
        </is>
      </c>
      <c r="G7" s="6" t="inlineStr">
        <is>
          <t>~$19.5B</t>
        </is>
      </c>
      <c r="H7" s="5" t="inlineStr">
        <is>
          <t>FY25 Revenue</t>
        </is>
      </c>
      <c r="I7" s="6" t="inlineStr">
        <is>
          <t>$5,810M</t>
        </is>
      </c>
    </row>
    <row r="8" ht="17" customHeight="1">
      <c r="B8" s="5" t="inlineStr">
        <is>
          <t>Price Target</t>
        </is>
      </c>
      <c r="C8" s="6" t="inlineStr">
        <is>
          <t>$460</t>
        </is>
      </c>
      <c r="D8" s="5" t="inlineStr">
        <is>
          <t>52W High/Low</t>
        </is>
      </c>
      <c r="E8" s="6" t="inlineStr">
        <is>
          <t>$99.6 / $379.6</t>
        </is>
      </c>
      <c r="F8" s="5" t="inlineStr">
        <is>
          <t>Net Debt (FY25)</t>
        </is>
      </c>
      <c r="G8" s="6" t="inlineStr">
        <is>
          <t>$2,984M</t>
        </is>
      </c>
      <c r="H8" s="5" t="inlineStr">
        <is>
          <t>FY25 Adj EBITDA</t>
        </is>
      </c>
      <c r="I8" s="6" t="inlineStr">
        <is>
          <t>$843M</t>
        </is>
      </c>
    </row>
    <row r="9" ht="17" customHeight="1">
      <c r="B9" s="5" t="inlineStr">
        <is>
          <t>Rating</t>
        </is>
      </c>
      <c r="C9" s="6" t="inlineStr">
        <is>
          <t>BUY</t>
        </is>
      </c>
      <c r="D9" s="5" t="inlineStr">
        <is>
          <t>Shares O/S</t>
        </is>
      </c>
      <c r="E9" s="6" t="inlineStr">
        <is>
          <t>~155M</t>
        </is>
      </c>
      <c r="F9" s="5" t="inlineStr">
        <is>
          <t>Net Debt/EBITDA</t>
        </is>
      </c>
      <c r="G9" s="6" t="inlineStr">
        <is>
          <t>3.3x</t>
        </is>
      </c>
      <c r="H9" s="5" t="inlineStr">
        <is>
          <t>FY25 Non-GAAP EPS</t>
        </is>
      </c>
      <c r="I9" s="6" t="inlineStr">
        <is>
          <t>$3.53</t>
        </is>
      </c>
    </row>
    <row r="10" ht="17" customHeight="1">
      <c r="B10" s="5" t="inlineStr">
        <is>
          <t>Upside to PT</t>
        </is>
      </c>
      <c r="C10" s="6" t="inlineStr">
        <is>
          <t>+21.2%</t>
        </is>
      </c>
      <c r="D10" s="5" t="inlineStr">
        <is>
          <t>Avg Daily Vol</t>
        </is>
      </c>
      <c r="E10" s="6" t="inlineStr">
        <is>
          <t>7.6M shs</t>
        </is>
      </c>
      <c r="F10" s="5" t="inlineStr">
        <is>
          <t>FY25 Gross Margin</t>
        </is>
      </c>
      <c r="G10" s="6" t="inlineStr">
        <is>
          <t>37.9%</t>
        </is>
      </c>
      <c r="H10" s="5" t="inlineStr">
        <is>
          <t>FY25 FCF</t>
        </is>
      </c>
      <c r="I10" s="6" t="inlineStr">
        <is>
          <t>$193M</t>
        </is>
      </c>
    </row>
    <row r="11" ht="17" customHeight="1">
      <c r="B11" s="5" t="inlineStr">
        <is>
          <t>Analyst Cons.</t>
        </is>
      </c>
      <c r="C11" s="6" t="inlineStr">
        <is>
          <t>Strong Buy</t>
        </is>
      </c>
      <c r="D11" s="5" t="inlineStr">
        <is>
          <t>Avg PT (9 analysts)</t>
        </is>
      </c>
      <c r="E11" s="6" t="inlineStr">
        <is>
          <t>$350.78</t>
        </is>
      </c>
      <c r="F11" s="5" t="inlineStr">
        <is>
          <t>Revenue Growth FY25</t>
        </is>
      </c>
      <c r="G11" s="6" t="inlineStr">
        <is>
          <t>+23%</t>
        </is>
      </c>
      <c r="H11" s="5" t="inlineStr">
        <is>
          <t>4Y Rev CAGR (FY21-25)</t>
        </is>
      </c>
      <c r="I11" s="6" t="inlineStr">
        <is>
          <t>17.0%</t>
        </is>
      </c>
    </row>
    <row r="13" ht="18" customHeight="1">
      <c r="B13" s="3" t="inlineStr">
        <is>
          <t>INVESTMENT THESIS</t>
        </is>
      </c>
    </row>
    <row r="14" ht="90" customHeight="1">
      <c r="B14" s="7" t="inlineStr">
        <is>
          <t>We initiate coverage of Coherent Corp (COHR) with a BUY rating and $460 price target, representing ~21% upside. Coherent is the optical backbone of the AI infrastructure supercycle. With 75% of TTM revenue derived from Datacenter &amp; Communications — growing &gt;40% YoY — and proprietary 800G/1.6T indium phosphide transceiver technology, COHR is uniquely positioned at the intersection of two mega-trends: generative AI compute expansion and optical networking upgrade cycles. CEO Jim Anderson's operational turnaround (non-GAAP EPS +191% YoY in FY25) is accelerating. The $1B DENSO/Mitsubishi SiC investment ring-fences capital allocation risk. Deleveraging from 3.3x to &lt;1x Net Debt/EBITDA by FY28 provides a ~$1.5B re-rating catalyst. Bull case to $550+ if 1.6T ramp exceeds expectations.</t>
        </is>
      </c>
    </row>
    <row r="15"/>
    <row r="16"/>
    <row r="17"/>
    <row r="18"/>
    <row r="20">
      <c r="B20" s="3" t="inlineStr">
        <is>
          <t>FINANCIAL SUMMARY ($ millions, except per share data)</t>
        </is>
      </c>
    </row>
    <row r="21" ht="20" customHeight="1">
      <c r="B21" s="4" t="inlineStr">
        <is>
          <t>Metric</t>
        </is>
      </c>
      <c r="C21" s="4" t="inlineStr">
        <is>
          <t>FY2023A</t>
        </is>
      </c>
      <c r="D21" s="4" t="inlineStr">
        <is>
          <t>FY2024A</t>
        </is>
      </c>
      <c r="E21" s="4" t="inlineStr">
        <is>
          <t>FY2025A</t>
        </is>
      </c>
      <c r="F21" s="4" t="inlineStr">
        <is>
          <t>FY2026E</t>
        </is>
      </c>
      <c r="G21" s="4" t="inlineStr">
        <is>
          <t>FY2027E</t>
        </is>
      </c>
      <c r="H21" s="4" t="inlineStr">
        <is>
          <t>FY2028E</t>
        </is>
      </c>
      <c r="I21" s="4" t="inlineStr">
        <is>
          <t>FY2029E</t>
        </is>
      </c>
      <c r="J21" s="4" t="inlineStr">
        <is>
          <t>FY2030E</t>
        </is>
      </c>
    </row>
    <row r="22" ht="17" customHeight="1">
      <c r="B22" s="8" t="inlineStr">
        <is>
          <t>Revenue ($M)</t>
        </is>
      </c>
      <c r="C22" s="9" t="n">
        <v>5160</v>
      </c>
      <c r="D22" s="9" t="n">
        <v>4708</v>
      </c>
      <c r="E22" s="9" t="n">
        <v>5810</v>
      </c>
      <c r="F22" s="10" t="n">
        <v>7060</v>
      </c>
      <c r="G22" s="10" t="n">
        <v>8650</v>
      </c>
      <c r="H22" s="10" t="n">
        <v>10200</v>
      </c>
      <c r="I22" s="10" t="n">
        <v>11730</v>
      </c>
      <c r="J22" s="10" t="n">
        <v>13020</v>
      </c>
    </row>
    <row r="23" ht="17" customHeight="1">
      <c r="B23" s="8" t="inlineStr">
        <is>
          <t>YoY Growth %</t>
        </is>
      </c>
      <c r="C23" s="9" t="inlineStr">
        <is>
          <t>55.8%</t>
        </is>
      </c>
      <c r="D23" s="9" t="inlineStr">
        <is>
          <t>-8.7%</t>
        </is>
      </c>
      <c r="E23" s="9" t="inlineStr">
        <is>
          <t>23.4%</t>
        </is>
      </c>
      <c r="F23" s="10" t="inlineStr">
        <is>
          <t>21.5%</t>
        </is>
      </c>
      <c r="G23" s="10" t="inlineStr">
        <is>
          <t>22.5%</t>
        </is>
      </c>
      <c r="H23" s="10" t="inlineStr">
        <is>
          <t>17.9%</t>
        </is>
      </c>
      <c r="I23" s="10" t="inlineStr">
        <is>
          <t>15.0%</t>
        </is>
      </c>
      <c r="J23" s="10" t="inlineStr">
        <is>
          <t>11.0%</t>
        </is>
      </c>
    </row>
    <row r="24" ht="17" customHeight="1">
      <c r="B24" s="8" t="inlineStr">
        <is>
          <t>Adj. Gross Margin</t>
        </is>
      </c>
      <c r="C24" s="9" t="inlineStr">
        <is>
          <t>38.4%</t>
        </is>
      </c>
      <c r="D24" s="9" t="inlineStr">
        <is>
          <t>34.3%</t>
        </is>
      </c>
      <c r="E24" s="9" t="inlineStr">
        <is>
          <t>37.9%</t>
        </is>
      </c>
      <c r="F24" s="10" t="inlineStr">
        <is>
          <t>39.5%</t>
        </is>
      </c>
      <c r="G24" s="10" t="inlineStr">
        <is>
          <t>41.5%</t>
        </is>
      </c>
      <c r="H24" s="10" t="inlineStr">
        <is>
          <t>43.0%</t>
        </is>
      </c>
      <c r="I24" s="10" t="inlineStr">
        <is>
          <t>44.0%</t>
        </is>
      </c>
      <c r="J24" s="10" t="inlineStr">
        <is>
          <t>45.0%</t>
        </is>
      </c>
    </row>
    <row r="25" ht="17" customHeight="1">
      <c r="B25" s="8" t="inlineStr">
        <is>
          <t>Adj. EBITDA ($M)</t>
        </is>
      </c>
      <c r="C25" s="9" t="n">
        <v>1239</v>
      </c>
      <c r="D25" s="9" t="n">
        <v>1002</v>
      </c>
      <c r="E25" s="9" t="n">
        <v>843</v>
      </c>
      <c r="F25" s="10" t="n">
        <v>1412</v>
      </c>
      <c r="G25" s="10" t="n">
        <v>2033</v>
      </c>
      <c r="H25" s="10" t="n">
        <v>2652</v>
      </c>
      <c r="I25" s="10" t="n">
        <v>3284</v>
      </c>
      <c r="J25" s="10" t="n">
        <v>3841</v>
      </c>
    </row>
    <row r="26" ht="17" customHeight="1">
      <c r="B26" s="8" t="inlineStr">
        <is>
          <t>Adj. EBITDA Margin</t>
        </is>
      </c>
      <c r="C26" s="9" t="inlineStr">
        <is>
          <t>24.0%</t>
        </is>
      </c>
      <c r="D26" s="9" t="inlineStr">
        <is>
          <t>21.3%</t>
        </is>
      </c>
      <c r="E26" s="9" t="inlineStr">
        <is>
          <t>14.5%</t>
        </is>
      </c>
      <c r="F26" s="10" t="inlineStr">
        <is>
          <t>20.0%</t>
        </is>
      </c>
      <c r="G26" s="10" t="inlineStr">
        <is>
          <t>23.5%</t>
        </is>
      </c>
      <c r="H26" s="10" t="inlineStr">
        <is>
          <t>26.0%</t>
        </is>
      </c>
      <c r="I26" s="10" t="inlineStr">
        <is>
          <t>28.0%</t>
        </is>
      </c>
      <c r="J26" s="10" t="inlineStr">
        <is>
          <t>29.5%</t>
        </is>
      </c>
    </row>
    <row r="27" ht="17" customHeight="1">
      <c r="B27" s="8" t="inlineStr">
        <is>
          <t>Non-GAAP EPS</t>
        </is>
      </c>
      <c r="C27" s="9" t="inlineStr">
        <is>
          <t>$3.00</t>
        </is>
      </c>
      <c r="D27" s="9" t="inlineStr">
        <is>
          <t>$1.21</t>
        </is>
      </c>
      <c r="E27" s="9" t="inlineStr">
        <is>
          <t>$3.53</t>
        </is>
      </c>
      <c r="F27" s="10" t="inlineStr">
        <is>
          <t>$5.35</t>
        </is>
      </c>
      <c r="G27" s="10" t="inlineStr">
        <is>
          <t>$7.80</t>
        </is>
      </c>
      <c r="H27" s="10" t="inlineStr">
        <is>
          <t>$10.50</t>
        </is>
      </c>
      <c r="I27" s="10" t="inlineStr">
        <is>
          <t>$13.20</t>
        </is>
      </c>
      <c r="J27" s="10" t="inlineStr">
        <is>
          <t>$15.80</t>
        </is>
      </c>
    </row>
    <row r="28" ht="17" customHeight="1">
      <c r="B28" s="8" t="inlineStr">
        <is>
          <t>Capex ($M)</t>
        </is>
      </c>
      <c r="C28" s="9" t="n">
        <v>436</v>
      </c>
      <c r="D28" s="9" t="n">
        <v>347</v>
      </c>
      <c r="E28" s="9" t="n">
        <v>441</v>
      </c>
      <c r="F28" s="10" t="n">
        <v>550</v>
      </c>
      <c r="G28" s="10" t="n">
        <v>620</v>
      </c>
      <c r="H28" s="10" t="n">
        <v>680</v>
      </c>
      <c r="I28" s="10" t="n">
        <v>720</v>
      </c>
      <c r="J28" s="10" t="n">
        <v>750</v>
      </c>
    </row>
    <row r="29" ht="17" customHeight="1">
      <c r="B29" s="8" t="inlineStr">
        <is>
          <t>FCF ($M)</t>
        </is>
      </c>
      <c r="C29" s="9" t="n">
        <v>198</v>
      </c>
      <c r="D29" s="9" t="n">
        <v>199</v>
      </c>
      <c r="E29" s="9" t="n">
        <v>193</v>
      </c>
      <c r="F29" s="10" t="n">
        <v>680</v>
      </c>
      <c r="G29" s="10" t="n">
        <v>1150</v>
      </c>
      <c r="H29" s="10" t="n">
        <v>1750</v>
      </c>
      <c r="I29" s="10" t="n">
        <v>2350</v>
      </c>
      <c r="J29" s="10" t="n">
        <v>3000</v>
      </c>
    </row>
    <row r="30" ht="17" customHeight="1">
      <c r="B30" s="8" t="inlineStr">
        <is>
          <t>Net Debt ($M)</t>
        </is>
      </c>
      <c r="C30" s="9" t="n">
        <v>3668</v>
      </c>
      <c r="D30" s="9" t="n">
        <v>3377</v>
      </c>
      <c r="E30" s="9" t="n">
        <v>2984</v>
      </c>
      <c r="F30" s="10" t="n">
        <v>2200</v>
      </c>
      <c r="G30" s="10" t="n">
        <v>1500</v>
      </c>
      <c r="H30" s="10" t="n">
        <v>750</v>
      </c>
      <c r="I30" s="10" t="n">
        <v>100</v>
      </c>
      <c r="J30" s="10" t="n">
        <v>-400</v>
      </c>
    </row>
    <row r="31" ht="17" customHeight="1">
      <c r="B31" s="8" t="inlineStr">
        <is>
          <t>Net Debt / EBITDA</t>
        </is>
      </c>
      <c r="C31" s="9" t="inlineStr">
        <is>
          <t>3.0x</t>
        </is>
      </c>
      <c r="D31" s="9" t="inlineStr">
        <is>
          <t>3.4x</t>
        </is>
      </c>
      <c r="E31" s="9" t="inlineStr">
        <is>
          <t>3.5x</t>
        </is>
      </c>
      <c r="F31" s="10" t="inlineStr">
        <is>
          <t>1.6x</t>
        </is>
      </c>
      <c r="G31" s="10" t="inlineStr">
        <is>
          <t>0.7x</t>
        </is>
      </c>
      <c r="H31" s="10" t="inlineStr">
        <is>
          <t>0.3x</t>
        </is>
      </c>
      <c r="I31" s="10" t="inlineStr">
        <is>
          <t>0.0x</t>
        </is>
      </c>
      <c r="J31" s="10" t="inlineStr">
        <is>
          <t>(0.1x)</t>
        </is>
      </c>
    </row>
    <row r="33" ht="18" customHeight="1">
      <c r="B33" s="3" t="inlineStr">
        <is>
          <t>KEY CATALYSTS</t>
        </is>
      </c>
      <c r="F33" s="3" t="inlineStr">
        <is>
          <t>KEY RISKS</t>
        </is>
      </c>
    </row>
    <row r="34" ht="20" customHeight="1">
      <c r="B34" s="11" t="inlineStr">
        <is>
          <t>✓  1.6T transceiver ramp ahead of schedule</t>
        </is>
      </c>
      <c r="F34" s="12" t="inlineStr">
        <is>
          <t>⚠  Hyperscaler capex cuts reduce transceiver demand</t>
        </is>
      </c>
    </row>
    <row r="35" ht="20" customHeight="1">
      <c r="B35" s="11" t="inlineStr">
        <is>
          <t>✓  Debt paydown → meaningful re-rating</t>
        </is>
      </c>
      <c r="F35" s="12" t="inlineStr">
        <is>
          <t>⚠  China export control restrictions on optics</t>
        </is>
      </c>
    </row>
    <row r="36" ht="20" customHeight="1">
      <c r="B36" s="11" t="inlineStr">
        <is>
          <t>✓  A&amp;D divestiture closes; proceeds to delever</t>
        </is>
      </c>
      <c r="F36" s="12" t="inlineStr">
        <is>
          <t>⚠  Integration risk from II-VI merger (goodwill)</t>
        </is>
      </c>
    </row>
    <row r="37" ht="20" customHeight="1">
      <c r="B37" s="11" t="inlineStr">
        <is>
          <t>✓  Semiconductor laser demand recovery (FY27)</t>
        </is>
      </c>
      <c r="F37" s="12" t="inlineStr">
        <is>
          <t>⚠  Intense competition from Inphi/Marvell/JDSU</t>
        </is>
      </c>
    </row>
    <row r="38" ht="20" customHeight="1">
      <c r="B38" s="11" t="inlineStr">
        <is>
          <t>✓  SiC capacity expansion supports EV market</t>
        </is>
      </c>
      <c r="F38" s="12" t="inlineStr">
        <is>
          <t>⚠  Execution risk on InP 6-inch capacity ramp</t>
        </is>
      </c>
    </row>
    <row r="41">
      <c r="B41" s="13" t="inlineStr">
        <is>
          <t>Source: Company filings, Bloomberg, FactSet, Perplexity Finance. Generated: May 22, 2026 | For institutional use only.</t>
        </is>
      </c>
    </row>
  </sheetData>
  <mergeCells count="19">
    <mergeCell ref="B3:I3"/>
    <mergeCell ref="B33:E33"/>
    <mergeCell ref="F37:I37"/>
    <mergeCell ref="B36:E36"/>
    <mergeCell ref="B35:E35"/>
    <mergeCell ref="B2:I2"/>
    <mergeCell ref="F34:I34"/>
    <mergeCell ref="B14:I18"/>
    <mergeCell ref="B13:I13"/>
    <mergeCell ref="F33:I33"/>
    <mergeCell ref="F36:I36"/>
    <mergeCell ref="F35:I35"/>
    <mergeCell ref="B20:I20"/>
    <mergeCell ref="B38:E38"/>
    <mergeCell ref="B5:I5"/>
    <mergeCell ref="F38:I38"/>
    <mergeCell ref="B37:E37"/>
    <mergeCell ref="B41:I41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L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2" ht="28" customHeight="1">
      <c r="B2" s="14" t="inlineStr">
        <is>
          <t>COHERENT CORP — REVENUE MODEL ($ millions)</t>
        </is>
      </c>
    </row>
    <row r="4" ht="22" customHeight="1">
      <c r="B4" s="15" t="inlineStr">
        <is>
          <t>Segment / Market</t>
        </is>
      </c>
      <c r="C4" s="16" t="inlineStr">
        <is>
          <t>FY2021A</t>
        </is>
      </c>
      <c r="D4" s="16" t="inlineStr">
        <is>
          <t>FY2022A</t>
        </is>
      </c>
      <c r="E4" s="16" t="inlineStr">
        <is>
          <t>FY2023A</t>
        </is>
      </c>
      <c r="F4" s="16" t="inlineStr">
        <is>
          <t>FY2024A</t>
        </is>
      </c>
      <c r="G4" s="16" t="inlineStr">
        <is>
          <t>FY2025A</t>
        </is>
      </c>
      <c r="H4" s="17" t="inlineStr">
        <is>
          <t>FY2026E</t>
        </is>
      </c>
      <c r="I4" s="17" t="inlineStr">
        <is>
          <t>FY2027E</t>
        </is>
      </c>
      <c r="J4" s="17" t="inlineStr">
        <is>
          <t>FY2028E</t>
        </is>
      </c>
      <c r="K4" s="17" t="inlineStr">
        <is>
          <t>FY2029E</t>
        </is>
      </c>
      <c r="L4" s="17" t="inlineStr">
        <is>
          <t>FY2030E</t>
        </is>
      </c>
    </row>
    <row r="5" ht="17" customHeight="1">
      <c r="B5" s="18" t="inlineStr">
        <is>
          <t>Networking (Datacom/AI Optics)</t>
        </is>
      </c>
      <c r="C5" s="19" t="n">
        <v>790</v>
      </c>
      <c r="D5" s="19" t="n">
        <v>890</v>
      </c>
      <c r="E5" s="19" t="n">
        <v>1720</v>
      </c>
      <c r="F5" s="19" t="n">
        <v>1480</v>
      </c>
      <c r="G5" s="19" t="n">
        <v>3600</v>
      </c>
      <c r="H5" s="20" t="n">
        <v>5150</v>
      </c>
      <c r="I5" s="20" t="n">
        <v>6580</v>
      </c>
      <c r="J5" s="20" t="n">
        <v>7956</v>
      </c>
      <c r="K5" s="20" t="n">
        <v>9151</v>
      </c>
      <c r="L5" s="20" t="n">
        <v>10066</v>
      </c>
    </row>
    <row r="6" ht="15" customHeight="1">
      <c r="B6" s="21" t="inlineStr">
        <is>
          <t xml:space="preserve">  YoY Growth %</t>
        </is>
      </c>
      <c r="C6" s="22" t="inlineStr"/>
      <c r="D6" s="23" t="inlineStr">
        <is>
          <t>9.4%</t>
        </is>
      </c>
      <c r="E6" s="23" t="inlineStr">
        <is>
          <t>65.8%</t>
        </is>
      </c>
      <c r="F6" s="23" t="inlineStr">
        <is>
          <t>-10.3%</t>
        </is>
      </c>
      <c r="G6" s="23" t="inlineStr">
        <is>
          <t>-37.5%</t>
        </is>
      </c>
      <c r="H6" s="23" t="inlineStr">
        <is>
          <t>-2.3%</t>
        </is>
      </c>
      <c r="I6" s="23" t="inlineStr">
        <is>
          <t>9.1%</t>
        </is>
      </c>
      <c r="J6" s="23" t="inlineStr">
        <is>
          <t>1.5%</t>
        </is>
      </c>
      <c r="K6" s="23" t="inlineStr">
        <is>
          <t>21.6%</t>
        </is>
      </c>
      <c r="L6" s="23" t="inlineStr">
        <is>
          <t>20.0%</t>
        </is>
      </c>
    </row>
    <row r="7" ht="17" customHeight="1">
      <c r="B7" s="18" t="inlineStr">
        <is>
          <t>Laser Sources (Industrial/Medical)</t>
        </is>
      </c>
      <c r="C7" s="19" t="n">
        <v>1450</v>
      </c>
      <c r="D7" s="19" t="n">
        <v>1480</v>
      </c>
      <c r="E7" s="19" t="n">
        <v>1870</v>
      </c>
      <c r="F7" s="19" t="n">
        <v>1820</v>
      </c>
      <c r="G7" s="19" t="n">
        <v>1330</v>
      </c>
      <c r="H7" s="20" t="n">
        <v>1050</v>
      </c>
      <c r="I7" s="20" t="n">
        <v>1132</v>
      </c>
      <c r="J7" s="20" t="n">
        <v>1292</v>
      </c>
      <c r="K7" s="20" t="n">
        <v>1421</v>
      </c>
      <c r="L7" s="20" t="n">
        <v>1563</v>
      </c>
    </row>
    <row r="8" ht="15" customHeight="1">
      <c r="B8" s="21" t="inlineStr">
        <is>
          <t xml:space="preserve">  YoY Growth %</t>
        </is>
      </c>
      <c r="C8" s="22" t="inlineStr"/>
      <c r="D8" s="23" t="inlineStr">
        <is>
          <t>9.4%</t>
        </is>
      </c>
      <c r="E8" s="23" t="inlineStr">
        <is>
          <t>65.8%</t>
        </is>
      </c>
      <c r="F8" s="23" t="inlineStr">
        <is>
          <t>-10.3%</t>
        </is>
      </c>
      <c r="G8" s="23" t="inlineStr">
        <is>
          <t>-37.5%</t>
        </is>
      </c>
      <c r="H8" s="23" t="inlineStr">
        <is>
          <t>-2.3%</t>
        </is>
      </c>
      <c r="I8" s="23" t="inlineStr">
        <is>
          <t>9.1%</t>
        </is>
      </c>
      <c r="J8" s="23" t="inlineStr">
        <is>
          <t>1.5%</t>
        </is>
      </c>
      <c r="K8" s="23" t="inlineStr">
        <is>
          <t>21.6%</t>
        </is>
      </c>
      <c r="L8" s="23" t="inlineStr">
        <is>
          <t>20.0%</t>
        </is>
      </c>
    </row>
    <row r="9" ht="17" customHeight="1">
      <c r="B9" s="18" t="inlineStr">
        <is>
          <t>Materials (SiC/Substrates)</t>
        </is>
      </c>
      <c r="C9" s="19" t="n">
        <v>866</v>
      </c>
      <c r="D9" s="19" t="n">
        <v>947</v>
      </c>
      <c r="E9" s="19" t="n">
        <v>1570</v>
      </c>
      <c r="F9" s="19" t="n">
        <v>1408</v>
      </c>
      <c r="G9" s="19" t="n">
        <v>880</v>
      </c>
      <c r="H9" s="20" t="n">
        <v>860</v>
      </c>
      <c r="I9" s="20" t="n">
        <v>938</v>
      </c>
      <c r="J9" s="20" t="n">
        <v>952</v>
      </c>
      <c r="K9" s="20" t="n">
        <v>1158</v>
      </c>
      <c r="L9" s="20" t="n">
        <v>1391</v>
      </c>
    </row>
    <row r="10" ht="15" customHeight="1">
      <c r="B10" s="21" t="inlineStr">
        <is>
          <t xml:space="preserve">  YoY Growth %</t>
        </is>
      </c>
      <c r="C10" s="22" t="inlineStr"/>
      <c r="D10" s="23" t="inlineStr">
        <is>
          <t>9.4%</t>
        </is>
      </c>
      <c r="E10" s="23" t="inlineStr">
        <is>
          <t>65.8%</t>
        </is>
      </c>
      <c r="F10" s="23" t="inlineStr">
        <is>
          <t>-10.3%</t>
        </is>
      </c>
      <c r="G10" s="23" t="inlineStr">
        <is>
          <t>-37.5%</t>
        </is>
      </c>
      <c r="H10" s="23" t="inlineStr">
        <is>
          <t>-2.3%</t>
        </is>
      </c>
      <c r="I10" s="23" t="inlineStr">
        <is>
          <t>9.1%</t>
        </is>
      </c>
      <c r="J10" s="23" t="inlineStr">
        <is>
          <t>1.5%</t>
        </is>
      </c>
      <c r="K10" s="23" t="inlineStr">
        <is>
          <t>21.6%</t>
        </is>
      </c>
      <c r="L10" s="23" t="inlineStr">
        <is>
          <t>20.0%</t>
        </is>
      </c>
    </row>
    <row r="11" ht="17" customHeight="1">
      <c r="B11" s="24" t="inlineStr">
        <is>
          <t>TOTAL REVENUE</t>
        </is>
      </c>
      <c r="C11" s="25" t="n">
        <v>3106</v>
      </c>
      <c r="D11" s="25" t="n">
        <v>3317</v>
      </c>
      <c r="E11" s="25" t="n">
        <v>5160</v>
      </c>
      <c r="F11" s="25" t="n">
        <v>4708</v>
      </c>
      <c r="G11" s="25" t="n">
        <v>5810</v>
      </c>
      <c r="H11" s="26" t="n">
        <v>7060</v>
      </c>
      <c r="I11" s="26" t="n">
        <v>8650</v>
      </c>
      <c r="J11" s="26" t="n">
        <v>10200</v>
      </c>
      <c r="K11" s="26" t="n">
        <v>11730</v>
      </c>
      <c r="L11" s="26" t="n">
        <v>13020</v>
      </c>
    </row>
    <row r="12" ht="15" customHeight="1">
      <c r="B12" s="27" t="inlineStr">
        <is>
          <t>Total YoY Growth %</t>
        </is>
      </c>
      <c r="C12" s="28" t="inlineStr"/>
      <c r="D12" s="29" t="inlineStr">
        <is>
          <t>6.8%</t>
        </is>
      </c>
      <c r="E12" s="29" t="inlineStr">
        <is>
          <t>55.6%</t>
        </is>
      </c>
      <c r="F12" s="29" t="inlineStr">
        <is>
          <t>-8.8%</t>
        </is>
      </c>
      <c r="G12" s="29" t="inlineStr">
        <is>
          <t>23.4%</t>
        </is>
      </c>
      <c r="H12" s="29" t="inlineStr">
        <is>
          <t>21.5%</t>
        </is>
      </c>
      <c r="I12" s="29" t="inlineStr">
        <is>
          <t>22.5%</t>
        </is>
      </c>
      <c r="J12" s="29" t="inlineStr">
        <is>
          <t>17.9%</t>
        </is>
      </c>
      <c r="K12" s="29" t="inlineStr">
        <is>
          <t>15.0%</t>
        </is>
      </c>
      <c r="L12" s="29" t="inlineStr">
        <is>
          <t>11.0%</t>
        </is>
      </c>
    </row>
    <row r="14">
      <c r="B14" s="3" t="inlineStr">
        <is>
          <t>REVENUE MIX (%)</t>
        </is>
      </c>
    </row>
    <row r="15" ht="16" customHeight="1">
      <c r="B15" s="30" t="inlineStr">
        <is>
          <t xml:space="preserve">  % Networking (Datacom/AI Optics)</t>
        </is>
      </c>
      <c r="C15" s="31" t="n">
        <v>0.2543464262717322</v>
      </c>
      <c r="D15" s="31" t="n">
        <v>0.2683147422369611</v>
      </c>
      <c r="E15" s="31" t="n">
        <v>0.3333333333333333</v>
      </c>
      <c r="F15" s="31" t="n">
        <v>0.3143585386576041</v>
      </c>
      <c r="G15" s="31" t="n">
        <v>0.6196213425129088</v>
      </c>
      <c r="H15" s="31" t="n">
        <v>0.7294617563739377</v>
      </c>
      <c r="I15" s="31" t="n">
        <v>0.7606936416184971</v>
      </c>
      <c r="J15" s="31" t="n">
        <v>0.78</v>
      </c>
      <c r="K15" s="31" t="n">
        <v>0.7801364023870417</v>
      </c>
      <c r="L15" s="31" t="n">
        <v>0.7731182795698924</v>
      </c>
    </row>
    <row r="16" ht="16" customHeight="1">
      <c r="B16" s="30" t="inlineStr">
        <is>
          <t xml:space="preserve">  % Laser Sources (Industrial/Medical)</t>
        </is>
      </c>
      <c r="C16" s="31" t="n">
        <v>0.4668383773341919</v>
      </c>
      <c r="D16" s="31" t="n">
        <v>0.4461863129333735</v>
      </c>
      <c r="E16" s="31" t="n">
        <v>0.3624031007751938</v>
      </c>
      <c r="F16" s="31" t="n">
        <v>0.3865760407816483</v>
      </c>
      <c r="G16" s="31" t="n">
        <v>0.2289156626506024</v>
      </c>
      <c r="H16" s="31" t="n">
        <v>0.1487252124645892</v>
      </c>
      <c r="I16" s="31" t="n">
        <v>0.1308670520231214</v>
      </c>
      <c r="J16" s="31" t="n">
        <v>0.1266666666666667</v>
      </c>
      <c r="K16" s="31" t="n">
        <v>0.1211423699914748</v>
      </c>
      <c r="L16" s="31" t="n">
        <v>0.1200460829493088</v>
      </c>
    </row>
    <row r="17" ht="16" customHeight="1">
      <c r="B17" s="30" t="inlineStr">
        <is>
          <t xml:space="preserve">  % Materials (SiC/Substrates)</t>
        </is>
      </c>
      <c r="C17" s="31" t="n">
        <v>0.278815196394076</v>
      </c>
      <c r="D17" s="31" t="n">
        <v>0.2854989448296654</v>
      </c>
      <c r="E17" s="31" t="n">
        <v>0.3042635658914729</v>
      </c>
      <c r="F17" s="31" t="n">
        <v>0.2990654205607476</v>
      </c>
      <c r="G17" s="31" t="n">
        <v>0.1514629948364888</v>
      </c>
      <c r="H17" s="31" t="n">
        <v>0.1218130311614731</v>
      </c>
      <c r="I17" s="31" t="n">
        <v>0.1084393063583815</v>
      </c>
      <c r="J17" s="31" t="n">
        <v>0.09333333333333334</v>
      </c>
      <c r="K17" s="31" t="n">
        <v>0.09872122762148337</v>
      </c>
      <c r="L17" s="31" t="n">
        <v>0.1068356374807988</v>
      </c>
    </row>
    <row r="19" ht="18" customHeight="1">
      <c r="B19" s="3" t="inlineStr">
        <is>
          <t>SCENARIO SUMMARY — TOTAL REVENUE ($M)</t>
        </is>
      </c>
    </row>
    <row r="20" ht="20" customHeight="1">
      <c r="B20" s="32" t="inlineStr">
        <is>
          <t>Scenario</t>
        </is>
      </c>
      <c r="C20" s="32" t="inlineStr">
        <is>
          <t>FY2026E</t>
        </is>
      </c>
      <c r="D20" s="32" t="inlineStr">
        <is>
          <t>FY2027E</t>
        </is>
      </c>
      <c r="E20" s="32" t="inlineStr">
        <is>
          <t>FY2028E</t>
        </is>
      </c>
      <c r="F20" s="32" t="inlineStr">
        <is>
          <t>FY2029E</t>
        </is>
      </c>
      <c r="G20" s="32" t="inlineStr">
        <is>
          <t>FY2030E</t>
        </is>
      </c>
    </row>
    <row r="21" ht="17" customHeight="1">
      <c r="B21" s="33" t="inlineStr">
        <is>
          <t>Bear Case</t>
        </is>
      </c>
      <c r="C21" s="34" t="n">
        <v>5800</v>
      </c>
      <c r="D21" s="34" t="n">
        <v>6700</v>
      </c>
      <c r="E21" s="34" t="n">
        <v>7500</v>
      </c>
      <c r="F21" s="34" t="n">
        <v>8400</v>
      </c>
      <c r="G21" s="34" t="n">
        <v>9000</v>
      </c>
    </row>
    <row r="22" ht="17" customHeight="1">
      <c r="B22" s="35" t="inlineStr">
        <is>
          <t>Base Case</t>
        </is>
      </c>
      <c r="C22" s="36" t="n">
        <v>7060</v>
      </c>
      <c r="D22" s="36" t="n">
        <v>8650</v>
      </c>
      <c r="E22" s="36" t="n">
        <v>10200</v>
      </c>
      <c r="F22" s="36" t="n">
        <v>11730</v>
      </c>
      <c r="G22" s="36" t="n">
        <v>13020</v>
      </c>
    </row>
    <row r="23" ht="17" customHeight="1">
      <c r="B23" s="37" t="inlineStr">
        <is>
          <t>Bull Case</t>
        </is>
      </c>
      <c r="C23" s="38" t="n">
        <v>8200</v>
      </c>
      <c r="D23" s="38" t="n">
        <v>10500</v>
      </c>
      <c r="E23" s="38" t="n">
        <v>13000</v>
      </c>
      <c r="F23" s="38" t="n">
        <v>15500</v>
      </c>
      <c r="G23" s="38" t="n">
        <v>18000</v>
      </c>
    </row>
    <row r="25">
      <c r="B25" s="39" t="inlineStr">
        <is>
          <t>Note: A&amp;D segment excluded from FY2026E+ following announced divestiture. FY2023 revenue reflects full-year II-VI consolidation post July 2022 merger close.</t>
        </is>
      </c>
    </row>
    <row r="26">
      <c r="B26" s="39" t="inlineStr">
        <is>
          <t>Source: Coherent Corp. 10-K filings, press releases, management guidance. Model: May 2026.</t>
        </is>
      </c>
    </row>
  </sheetData>
  <mergeCells count="5">
    <mergeCell ref="B26:K26"/>
    <mergeCell ref="B19:L19"/>
    <mergeCell ref="B25:K25"/>
    <mergeCell ref="B2:K2"/>
    <mergeCell ref="B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2:L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8" customHeight="1">
      <c r="B2" s="14" t="inlineStr">
        <is>
          <t>COHERENT CORP — INCOME STATEMENT MODEL ($ millions)</t>
        </is>
      </c>
    </row>
    <row r="4" ht="22" customHeight="1">
      <c r="B4" s="15" t="inlineStr">
        <is>
          <t>Line Item</t>
        </is>
      </c>
      <c r="C4" s="16" t="inlineStr">
        <is>
          <t>FY2021A</t>
        </is>
      </c>
      <c r="D4" s="16" t="inlineStr">
        <is>
          <t>FY2022A</t>
        </is>
      </c>
      <c r="E4" s="16" t="inlineStr">
        <is>
          <t>FY2023A</t>
        </is>
      </c>
      <c r="F4" s="16" t="inlineStr">
        <is>
          <t>FY2024A</t>
        </is>
      </c>
      <c r="G4" s="16" t="inlineStr">
        <is>
          <t>FY2025A</t>
        </is>
      </c>
      <c r="H4" s="17" t="inlineStr">
        <is>
          <t>FY2026E</t>
        </is>
      </c>
      <c r="I4" s="17" t="inlineStr">
        <is>
          <t>FY2027E</t>
        </is>
      </c>
      <c r="J4" s="17" t="inlineStr">
        <is>
          <t>FY2028E</t>
        </is>
      </c>
      <c r="K4" s="17" t="inlineStr">
        <is>
          <t>FY2029E</t>
        </is>
      </c>
      <c r="L4" s="17" t="inlineStr">
        <is>
          <t>FY2030E</t>
        </is>
      </c>
    </row>
    <row r="5" ht="16" customHeight="1">
      <c r="B5" s="24" t="inlineStr">
        <is>
          <t>Revenue</t>
        </is>
      </c>
      <c r="C5" s="25" t="n">
        <v>3106</v>
      </c>
      <c r="D5" s="25" t="n">
        <v>3317</v>
      </c>
      <c r="E5" s="25" t="n">
        <v>5160</v>
      </c>
      <c r="F5" s="25" t="n">
        <v>4708</v>
      </c>
      <c r="G5" s="25" t="n">
        <v>5810</v>
      </c>
      <c r="H5" s="26" t="n">
        <v>7060</v>
      </c>
      <c r="I5" s="26" t="n">
        <v>8650</v>
      </c>
      <c r="J5" s="26" t="n">
        <v>10200</v>
      </c>
      <c r="K5" s="26" t="n">
        <v>11730</v>
      </c>
      <c r="L5" s="26" t="n">
        <v>13020</v>
      </c>
    </row>
    <row r="6" ht="16" customHeight="1">
      <c r="B6" s="40" t="inlineStr">
        <is>
          <t xml:space="preserve">  YoY Growth %</t>
        </is>
      </c>
      <c r="C6" s="41" t="inlineStr"/>
      <c r="D6" s="41" t="inlineStr">
        <is>
          <t>6.8%</t>
        </is>
      </c>
      <c r="E6" s="41" t="inlineStr">
        <is>
          <t>55.6%</t>
        </is>
      </c>
      <c r="F6" s="41" t="inlineStr">
        <is>
          <t>-8.8%</t>
        </is>
      </c>
      <c r="G6" s="41" t="inlineStr">
        <is>
          <t>23.4%</t>
        </is>
      </c>
      <c r="H6" s="42" t="inlineStr">
        <is>
          <t>21.5%</t>
        </is>
      </c>
      <c r="I6" s="42" t="inlineStr">
        <is>
          <t>22.5%</t>
        </is>
      </c>
      <c r="J6" s="42" t="inlineStr">
        <is>
          <t>17.9%</t>
        </is>
      </c>
      <c r="K6" s="42" t="inlineStr">
        <is>
          <t>15.0%</t>
        </is>
      </c>
      <c r="L6" s="42" t="inlineStr">
        <is>
          <t>11.0%</t>
        </is>
      </c>
    </row>
    <row r="7" ht="16" customHeight="1">
      <c r="B7" s="43" t="inlineStr">
        <is>
          <t>Cost of Revenue</t>
        </is>
      </c>
      <c r="C7" s="44" t="n">
        <v>-1905</v>
      </c>
      <c r="D7" s="44" t="n">
        <v>-2044</v>
      </c>
      <c r="E7" s="44" t="n">
        <v>-3188</v>
      </c>
      <c r="F7" s="44" t="n">
        <v>-3249</v>
      </c>
      <c r="G7" s="44" t="n">
        <v>-3608</v>
      </c>
      <c r="H7" s="45" t="n">
        <v>-4271</v>
      </c>
      <c r="I7" s="45" t="n">
        <v>-5060</v>
      </c>
      <c r="J7" s="45" t="n">
        <v>-5814</v>
      </c>
      <c r="K7" s="45" t="n">
        <v>-6569</v>
      </c>
      <c r="L7" s="45" t="n">
        <v>-7161</v>
      </c>
    </row>
    <row r="8" ht="16" customHeight="1">
      <c r="B8" s="24" t="inlineStr">
        <is>
          <t>Gross Profit</t>
        </is>
      </c>
      <c r="C8" s="25" t="n">
        <v>1201</v>
      </c>
      <c r="D8" s="25" t="n">
        <v>1272</v>
      </c>
      <c r="E8" s="25" t="n">
        <v>1972</v>
      </c>
      <c r="F8" s="25" t="n">
        <v>1459</v>
      </c>
      <c r="G8" s="25" t="n">
        <v>2202</v>
      </c>
      <c r="H8" s="26" t="n">
        <v>2789</v>
      </c>
      <c r="I8" s="26" t="n">
        <v>3590</v>
      </c>
      <c r="J8" s="26" t="n">
        <v>4386</v>
      </c>
      <c r="K8" s="26" t="n">
        <v>5161</v>
      </c>
      <c r="L8" s="26" t="n">
        <v>5859</v>
      </c>
    </row>
    <row r="9" ht="16" customHeight="1">
      <c r="B9" s="40" t="inlineStr">
        <is>
          <t xml:space="preserve">  Gross Margin %</t>
        </is>
      </c>
      <c r="C9" s="41" t="inlineStr">
        <is>
          <t>38.7%</t>
        </is>
      </c>
      <c r="D9" s="41" t="inlineStr">
        <is>
          <t>38.3%</t>
        </is>
      </c>
      <c r="E9" s="41" t="inlineStr">
        <is>
          <t>38.2%</t>
        </is>
      </c>
      <c r="F9" s="41" t="inlineStr">
        <is>
          <t>31.0%</t>
        </is>
      </c>
      <c r="G9" s="41" t="inlineStr">
        <is>
          <t>37.9%</t>
        </is>
      </c>
      <c r="H9" s="42" t="inlineStr">
        <is>
          <t>39.5%</t>
        </is>
      </c>
      <c r="I9" s="42" t="inlineStr">
        <is>
          <t>41.5%</t>
        </is>
      </c>
      <c r="J9" s="42" t="inlineStr">
        <is>
          <t>43.0%</t>
        </is>
      </c>
      <c r="K9" s="42" t="inlineStr">
        <is>
          <t>44.0%</t>
        </is>
      </c>
      <c r="L9" s="42" t="inlineStr">
        <is>
          <t>45.0%</t>
        </is>
      </c>
    </row>
    <row r="10" ht="16" customHeight="1">
      <c r="B10" s="43" t="inlineStr">
        <is>
          <t>R&amp;D</t>
        </is>
      </c>
      <c r="C10" s="44" t="n">
        <v>-201</v>
      </c>
      <c r="D10" s="44" t="n">
        <v>-222</v>
      </c>
      <c r="E10" s="44" t="n">
        <v>-499</v>
      </c>
      <c r="F10" s="44" t="n">
        <v>-479</v>
      </c>
      <c r="G10" s="44" t="n">
        <v>-582</v>
      </c>
      <c r="H10" s="45" t="n">
        <v>-635</v>
      </c>
      <c r="I10" s="45" t="n">
        <v>-779</v>
      </c>
      <c r="J10" s="45" t="n">
        <v>-918</v>
      </c>
      <c r="K10" s="45" t="n">
        <v>-1055</v>
      </c>
      <c r="L10" s="45" t="n">
        <v>-1171</v>
      </c>
    </row>
    <row r="11" ht="16" customHeight="1">
      <c r="B11" s="43" t="inlineStr">
        <is>
          <t>SG&amp;A</t>
        </is>
      </c>
      <c r="C11" s="44" t="n">
        <v>-366</v>
      </c>
      <c r="D11" s="44" t="n">
        <v>-374</v>
      </c>
      <c r="E11" s="44" t="n">
        <v>-727</v>
      </c>
      <c r="F11" s="44" t="n">
        <v>-620</v>
      </c>
      <c r="G11" s="44" t="n">
        <v>-676</v>
      </c>
      <c r="H11" s="45" t="n">
        <v>-777</v>
      </c>
      <c r="I11" s="45" t="n">
        <v>-865</v>
      </c>
      <c r="J11" s="45" t="n">
        <v>-1020</v>
      </c>
      <c r="K11" s="45" t="n">
        <v>-1173</v>
      </c>
      <c r="L11" s="45" t="n">
        <v>-1302</v>
      </c>
    </row>
    <row r="12" ht="16" customHeight="1">
      <c r="B12" s="43" t="inlineStr">
        <is>
          <t>D&amp;A (amortization of intangibles)</t>
        </is>
      </c>
      <c r="C12" s="44" t="n">
        <v>-426</v>
      </c>
      <c r="D12" s="44" t="n">
        <v>-438</v>
      </c>
      <c r="E12" s="44" t="n">
        <v>-866</v>
      </c>
      <c r="F12" s="44" t="n">
        <v>-800</v>
      </c>
      <c r="G12" s="44" t="n">
        <v>-783</v>
      </c>
      <c r="H12" s="45" t="n">
        <v>-780</v>
      </c>
      <c r="I12" s="45" t="n">
        <v>-760</v>
      </c>
      <c r="J12" s="45" t="n">
        <v>-720</v>
      </c>
      <c r="K12" s="45" t="n">
        <v>-690</v>
      </c>
      <c r="L12" s="45" t="n">
        <v>-660</v>
      </c>
    </row>
    <row r="13" ht="16" customHeight="1">
      <c r="B13" s="43" t="inlineStr">
        <is>
          <t>Restructuring &amp; Other</t>
        </is>
      </c>
      <c r="C13" s="44" t="n">
        <v>-8</v>
      </c>
      <c r="D13" s="44" t="n">
        <v>-23</v>
      </c>
      <c r="E13" s="44" t="n">
        <v>-95</v>
      </c>
      <c r="F13" s="44" t="n">
        <v>-18</v>
      </c>
      <c r="G13" s="44" t="n">
        <v>-35</v>
      </c>
      <c r="H13" s="45" t="n">
        <v>-30</v>
      </c>
      <c r="I13" s="45" t="n">
        <v>-20</v>
      </c>
      <c r="J13" s="45" t="n">
        <v>-15</v>
      </c>
      <c r="K13" s="45" t="n">
        <v>-10</v>
      </c>
      <c r="L13" s="46" t="n">
        <v>-5</v>
      </c>
    </row>
    <row r="14" ht="16" customHeight="1">
      <c r="B14" s="24" t="inlineStr">
        <is>
          <t>GAAP Operating Income (EBIT)</t>
        </is>
      </c>
      <c r="C14" s="25" t="n">
        <v>200</v>
      </c>
      <c r="D14" s="25" t="n">
        <v>215</v>
      </c>
      <c r="E14" s="25" t="n">
        <v>-215</v>
      </c>
      <c r="F14" s="25" t="n">
        <v>-458</v>
      </c>
      <c r="G14" s="25" t="n">
        <v>167</v>
      </c>
      <c r="H14" s="26" t="n">
        <v>567</v>
      </c>
      <c r="I14" s="26" t="n">
        <v>1166</v>
      </c>
      <c r="J14" s="26" t="n">
        <v>1713</v>
      </c>
      <c r="K14" s="26" t="n">
        <v>2233</v>
      </c>
      <c r="L14" s="26" t="n">
        <v>2721</v>
      </c>
    </row>
    <row r="15" ht="16" customHeight="1">
      <c r="B15" s="40" t="inlineStr">
        <is>
          <t xml:space="preserve">  EBIT Margin %</t>
        </is>
      </c>
      <c r="C15" s="41" t="inlineStr">
        <is>
          <t>6.4%</t>
        </is>
      </c>
      <c r="D15" s="41" t="inlineStr">
        <is>
          <t>6.5%</t>
        </is>
      </c>
      <c r="E15" s="41" t="inlineStr">
        <is>
          <t>-4.2%</t>
        </is>
      </c>
      <c r="F15" s="41" t="inlineStr">
        <is>
          <t>-9.7%</t>
        </is>
      </c>
      <c r="G15" s="41" t="inlineStr">
        <is>
          <t>2.9%</t>
        </is>
      </c>
      <c r="H15" s="42" t="inlineStr">
        <is>
          <t>8.0%</t>
        </is>
      </c>
      <c r="I15" s="42" t="inlineStr">
        <is>
          <t>13.5%</t>
        </is>
      </c>
      <c r="J15" s="42" t="inlineStr">
        <is>
          <t>16.8%</t>
        </is>
      </c>
      <c r="K15" s="42" t="inlineStr">
        <is>
          <t>19.0%</t>
        </is>
      </c>
      <c r="L15" s="42" t="inlineStr">
        <is>
          <t>20.9%</t>
        </is>
      </c>
    </row>
    <row r="16" ht="16" customHeight="1">
      <c r="B16" s="43" t="inlineStr">
        <is>
          <t>Add: D&amp;A</t>
        </is>
      </c>
      <c r="C16" s="44" t="n">
        <v>426</v>
      </c>
      <c r="D16" s="44" t="n">
        <v>438</v>
      </c>
      <c r="E16" s="44" t="n">
        <v>866</v>
      </c>
      <c r="F16" s="44" t="n">
        <v>800</v>
      </c>
      <c r="G16" s="44" t="n">
        <v>783</v>
      </c>
      <c r="H16" s="45" t="n">
        <v>780</v>
      </c>
      <c r="I16" s="45" t="n">
        <v>760</v>
      </c>
      <c r="J16" s="45" t="n">
        <v>720</v>
      </c>
      <c r="K16" s="45" t="n">
        <v>690</v>
      </c>
      <c r="L16" s="45" t="n">
        <v>660</v>
      </c>
    </row>
    <row r="17" ht="16" customHeight="1">
      <c r="B17" s="24" t="inlineStr">
        <is>
          <t>GAAP EBITDA</t>
        </is>
      </c>
      <c r="C17" s="25" t="n">
        <v>626</v>
      </c>
      <c r="D17" s="25" t="n">
        <v>653</v>
      </c>
      <c r="E17" s="25" t="n">
        <v>651</v>
      </c>
      <c r="F17" s="25" t="n">
        <v>342</v>
      </c>
      <c r="G17" s="25" t="n">
        <v>950</v>
      </c>
      <c r="H17" s="26" t="n">
        <v>1347</v>
      </c>
      <c r="I17" s="26" t="n">
        <v>1926</v>
      </c>
      <c r="J17" s="26" t="n">
        <v>2433</v>
      </c>
      <c r="K17" s="26" t="n">
        <v>2923</v>
      </c>
      <c r="L17" s="26" t="n">
        <v>3381</v>
      </c>
    </row>
    <row r="18" ht="16" customHeight="1">
      <c r="B18" s="40" t="inlineStr">
        <is>
          <t xml:space="preserve">  EBITDA Margin %</t>
        </is>
      </c>
      <c r="C18" s="41" t="inlineStr">
        <is>
          <t>20.2%</t>
        </is>
      </c>
      <c r="D18" s="41" t="inlineStr">
        <is>
          <t>19.7%</t>
        </is>
      </c>
      <c r="E18" s="41" t="inlineStr">
        <is>
          <t>12.6%</t>
        </is>
      </c>
      <c r="F18" s="41" t="inlineStr">
        <is>
          <t>7.3%</t>
        </is>
      </c>
      <c r="G18" s="41" t="inlineStr">
        <is>
          <t>16.4%</t>
        </is>
      </c>
      <c r="H18" s="42" t="inlineStr">
        <is>
          <t>19.1%</t>
        </is>
      </c>
      <c r="I18" s="42" t="inlineStr">
        <is>
          <t>22.3%</t>
        </is>
      </c>
      <c r="J18" s="42" t="inlineStr">
        <is>
          <t>23.9%</t>
        </is>
      </c>
      <c r="K18" s="42" t="inlineStr">
        <is>
          <t>24.9%</t>
        </is>
      </c>
      <c r="L18" s="42" t="inlineStr">
        <is>
          <t>26.0%</t>
        </is>
      </c>
    </row>
    <row r="19" ht="16" customHeight="1">
      <c r="B19" s="47" t="inlineStr">
        <is>
          <t>Non-GAAP Adj. EBITDA</t>
        </is>
      </c>
      <c r="C19" s="48" t="n">
        <v>1029</v>
      </c>
      <c r="D19" s="48" t="n">
        <v>867</v>
      </c>
      <c r="E19" s="48" t="n">
        <v>1239</v>
      </c>
      <c r="F19" s="48" t="n">
        <v>1002</v>
      </c>
      <c r="G19" s="48" t="n">
        <v>843</v>
      </c>
      <c r="H19" s="49" t="n">
        <v>1412</v>
      </c>
      <c r="I19" s="49" t="n">
        <v>2033</v>
      </c>
      <c r="J19" s="49" t="n">
        <v>2652</v>
      </c>
      <c r="K19" s="49" t="n">
        <v>3284</v>
      </c>
      <c r="L19" s="49" t="n">
        <v>3841</v>
      </c>
    </row>
    <row r="20" ht="16" customHeight="1">
      <c r="B20" s="50" t="inlineStr">
        <is>
          <t xml:space="preserve">  Adj. EBITDA Margin %</t>
        </is>
      </c>
      <c r="C20" s="51" t="inlineStr">
        <is>
          <t>25.8%</t>
        </is>
      </c>
      <c r="D20" s="51" t="inlineStr">
        <is>
          <t>26.1%</t>
        </is>
      </c>
      <c r="E20" s="51" t="inlineStr">
        <is>
          <t>24.0%</t>
        </is>
      </c>
      <c r="F20" s="51" t="inlineStr">
        <is>
          <t>21.3%</t>
        </is>
      </c>
      <c r="G20" s="51" t="inlineStr">
        <is>
          <t>14.5%</t>
        </is>
      </c>
      <c r="H20" s="52" t="inlineStr">
        <is>
          <t>20.0%</t>
        </is>
      </c>
      <c r="I20" s="52" t="inlineStr">
        <is>
          <t>23.5%</t>
        </is>
      </c>
      <c r="J20" s="52" t="inlineStr">
        <is>
          <t>26.0%</t>
        </is>
      </c>
      <c r="K20" s="52" t="inlineStr">
        <is>
          <t>28.0%</t>
        </is>
      </c>
      <c r="L20" s="52" t="inlineStr">
        <is>
          <t>29.5%</t>
        </is>
      </c>
    </row>
    <row r="21" ht="16" customHeight="1">
      <c r="B21" s="43" t="inlineStr">
        <is>
          <t>Interest Expense, net</t>
        </is>
      </c>
      <c r="C21" s="44" t="n">
        <v>-28</v>
      </c>
      <c r="D21" s="44" t="n">
        <v>-60</v>
      </c>
      <c r="E21" s="44" t="n">
        <v>-286</v>
      </c>
      <c r="F21" s="44" t="n">
        <v>-288</v>
      </c>
      <c r="G21" s="44" t="n">
        <v>-244</v>
      </c>
      <c r="H21" s="45" t="n">
        <v>-210</v>
      </c>
      <c r="I21" s="45" t="n">
        <v>-180</v>
      </c>
      <c r="J21" s="45" t="n">
        <v>-140</v>
      </c>
      <c r="K21" s="45" t="n">
        <v>-100</v>
      </c>
      <c r="L21" s="45" t="n">
        <v>-60</v>
      </c>
    </row>
    <row r="22" ht="16" customHeight="1">
      <c r="B22" s="43" t="inlineStr">
        <is>
          <t>Other Income / (Expense)</t>
        </is>
      </c>
      <c r="C22" s="44" t="n">
        <v>12</v>
      </c>
      <c r="D22" s="44" t="n">
        <v>18</v>
      </c>
      <c r="E22" s="44" t="n">
        <v>31</v>
      </c>
      <c r="F22" s="44" t="n">
        <v>-18</v>
      </c>
      <c r="G22" s="44" t="n">
        <v>22</v>
      </c>
      <c r="H22" s="45" t="n">
        <v>20</v>
      </c>
      <c r="I22" s="45" t="n">
        <v>20</v>
      </c>
      <c r="J22" s="45" t="n">
        <v>20</v>
      </c>
      <c r="K22" s="45" t="n">
        <v>20</v>
      </c>
      <c r="L22" s="45" t="n">
        <v>20</v>
      </c>
    </row>
    <row r="23" ht="16" customHeight="1">
      <c r="B23" s="24" t="inlineStr">
        <is>
          <t>Pre-Tax Income</t>
        </is>
      </c>
      <c r="C23" s="25" t="n">
        <v>184</v>
      </c>
      <c r="D23" s="25" t="n">
        <v>173</v>
      </c>
      <c r="E23" s="25" t="n">
        <v>-470</v>
      </c>
      <c r="F23" s="25" t="n">
        <v>-764</v>
      </c>
      <c r="G23" s="25" t="n">
        <v>-55</v>
      </c>
      <c r="H23" s="26" t="n">
        <v>377</v>
      </c>
      <c r="I23" s="26" t="n">
        <v>1006</v>
      </c>
      <c r="J23" s="26" t="n">
        <v>1593</v>
      </c>
      <c r="K23" s="26" t="n">
        <v>2153</v>
      </c>
      <c r="L23" s="26" t="n">
        <v>2681</v>
      </c>
    </row>
    <row r="24" ht="16" customHeight="1">
      <c r="B24" s="43" t="inlineStr">
        <is>
          <t>Income Tax Provision</t>
        </is>
      </c>
      <c r="C24" s="44" t="n">
        <v>-44</v>
      </c>
      <c r="D24" s="44" t="n">
        <v>-26</v>
      </c>
      <c r="E24" s="44" t="n">
        <v>-141</v>
      </c>
      <c r="F24" s="44" t="n">
        <v>-68</v>
      </c>
      <c r="G24" s="44" t="n">
        <v>-135</v>
      </c>
      <c r="H24" s="45" t="n">
        <v>-45</v>
      </c>
      <c r="I24" s="45" t="n">
        <v>-131</v>
      </c>
      <c r="J24" s="45" t="n">
        <v>-223</v>
      </c>
      <c r="K24" s="45" t="n">
        <v>-323</v>
      </c>
      <c r="L24" s="45" t="n">
        <v>-402</v>
      </c>
    </row>
    <row r="25" ht="16" customHeight="1">
      <c r="B25" s="24" t="inlineStr">
        <is>
          <t>GAAP Net Income</t>
        </is>
      </c>
      <c r="C25" s="25" t="n">
        <v>140</v>
      </c>
      <c r="D25" s="25" t="n">
        <v>147</v>
      </c>
      <c r="E25" s="25" t="n">
        <v>-611</v>
      </c>
      <c r="F25" s="25" t="n">
        <v>-832</v>
      </c>
      <c r="G25" s="25" t="n">
        <v>-190</v>
      </c>
      <c r="H25" s="26" t="n">
        <v>332</v>
      </c>
      <c r="I25" s="26" t="n">
        <v>875</v>
      </c>
      <c r="J25" s="26" t="n">
        <v>1370</v>
      </c>
      <c r="K25" s="26" t="n">
        <v>1830</v>
      </c>
      <c r="L25" s="26" t="n">
        <v>2279</v>
      </c>
    </row>
    <row r="26" ht="16" customHeight="1">
      <c r="B26" s="40" t="inlineStr">
        <is>
          <t xml:space="preserve">  GAAP Net Margin %</t>
        </is>
      </c>
      <c r="C26" s="41" t="inlineStr">
        <is>
          <t>4.5%</t>
        </is>
      </c>
      <c r="D26" s="41" t="inlineStr">
        <is>
          <t>4.4%</t>
        </is>
      </c>
      <c r="E26" s="41" t="inlineStr">
        <is>
          <t>-11.8%</t>
        </is>
      </c>
      <c r="F26" s="41" t="inlineStr">
        <is>
          <t>-17.7%</t>
        </is>
      </c>
      <c r="G26" s="41" t="inlineStr">
        <is>
          <t>-3.3%</t>
        </is>
      </c>
      <c r="H26" s="42" t="inlineStr">
        <is>
          <t>4.7%</t>
        </is>
      </c>
      <c r="I26" s="42" t="inlineStr">
        <is>
          <t>10.1%</t>
        </is>
      </c>
      <c r="J26" s="42" t="inlineStr">
        <is>
          <t>13.4%</t>
        </is>
      </c>
      <c r="K26" s="42" t="inlineStr">
        <is>
          <t>15.6%</t>
        </is>
      </c>
      <c r="L26" s="42" t="inlineStr">
        <is>
          <t>17.5%</t>
        </is>
      </c>
    </row>
    <row r="27" ht="16" customHeight="1">
      <c r="B27" s="47" t="inlineStr">
        <is>
          <t>Non-GAAP Net Income</t>
        </is>
      </c>
      <c r="C27" s="48" t="n">
        <v>630</v>
      </c>
      <c r="D27" s="48" t="n">
        <v>505</v>
      </c>
      <c r="E27" s="48" t="n">
        <v>567</v>
      </c>
      <c r="F27" s="48" t="n">
        <v>311</v>
      </c>
      <c r="G27" s="48" t="n">
        <v>693</v>
      </c>
      <c r="H27" s="49" t="n">
        <v>830</v>
      </c>
      <c r="I27" s="49" t="n">
        <v>1209</v>
      </c>
      <c r="J27" s="49" t="n">
        <v>1628</v>
      </c>
      <c r="K27" s="49" t="n">
        <v>2049</v>
      </c>
      <c r="L27" s="49" t="n">
        <v>2452</v>
      </c>
    </row>
    <row r="28" ht="16" customHeight="1">
      <c r="B28" s="47" t="inlineStr">
        <is>
          <t>Non-GAAP EPS (diluted)</t>
        </is>
      </c>
      <c r="C28" s="53" t="n">
        <v>3.73</v>
      </c>
      <c r="D28" s="53" t="n">
        <v>3.72</v>
      </c>
      <c r="E28" s="53" t="n">
        <v>3</v>
      </c>
      <c r="F28" s="53" t="n">
        <v>1.21</v>
      </c>
      <c r="G28" s="53" t="n">
        <v>3.53</v>
      </c>
      <c r="H28" s="53" t="n">
        <v>5.35</v>
      </c>
      <c r="I28" s="53" t="n">
        <v>7.8</v>
      </c>
      <c r="J28" s="53" t="n">
        <v>10.5</v>
      </c>
      <c r="K28" s="53" t="n">
        <v>13.2</v>
      </c>
      <c r="L28" s="53" t="n">
        <v>15.8</v>
      </c>
    </row>
    <row r="29" ht="16" customHeight="1">
      <c r="B29" s="24" t="inlineStr">
        <is>
          <t>GAAP EPS (diluted)</t>
        </is>
      </c>
      <c r="C29" s="54" t="n">
        <v>2.37</v>
      </c>
      <c r="D29" s="54" t="n">
        <v>2.13</v>
      </c>
      <c r="E29" s="54" t="n">
        <v>-2.93</v>
      </c>
      <c r="F29" s="54" t="n">
        <v>-1.84</v>
      </c>
      <c r="G29" s="54" t="n">
        <v>-0.52</v>
      </c>
      <c r="H29" s="54" t="n">
        <v>2.14</v>
      </c>
      <c r="I29" s="54" t="n">
        <v>5.64</v>
      </c>
      <c r="J29" s="54" t="n">
        <v>8.83</v>
      </c>
      <c r="K29" s="54" t="n">
        <v>11.79</v>
      </c>
      <c r="L29" s="54" t="n">
        <v>14.7</v>
      </c>
    </row>
    <row r="30" ht="16" customHeight="1">
      <c r="B30" s="43" t="inlineStr">
        <is>
          <t>Diluted Shares (M)</t>
        </is>
      </c>
      <c r="C30" s="44" t="n">
        <v>138.8</v>
      </c>
      <c r="D30" s="44" t="n">
        <v>135.5</v>
      </c>
      <c r="E30" s="44" t="n">
        <v>137.6</v>
      </c>
      <c r="F30" s="44" t="n">
        <v>151.6</v>
      </c>
      <c r="G30" s="44" t="n">
        <v>155.6</v>
      </c>
      <c r="H30" s="45" t="n">
        <v>155.5</v>
      </c>
      <c r="I30" s="45" t="n">
        <v>155.3</v>
      </c>
      <c r="J30" s="45" t="n">
        <v>155</v>
      </c>
      <c r="K30" s="45" t="n">
        <v>154.5</v>
      </c>
      <c r="L30" s="45" t="n">
        <v>154</v>
      </c>
    </row>
    <row r="33">
      <c r="B33" s="39" t="inlineStr">
        <is>
          <t>Note: FY2021-FY2022 = legacy Coherent (pre-merger); FY2023+ = combined II-VI / Coherent entity. Non-GAAP excludes amortization, SBC, restructuring, and M&amp;A costs.</t>
        </is>
      </c>
    </row>
  </sheetData>
  <mergeCells count="2">
    <mergeCell ref="B33:K3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B2:I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28" customHeight="1">
      <c r="B2" s="14" t="inlineStr">
        <is>
          <t>COHERENT CORP — DCF VALUATION MODEL ($ millions, except per share)</t>
        </is>
      </c>
    </row>
    <row r="4" ht="18" customHeight="1">
      <c r="B4" s="3" t="inlineStr">
        <is>
          <t>WACC CALCULATION</t>
        </is>
      </c>
    </row>
    <row r="5" ht="17" customHeight="1">
      <c r="B5" s="55" t="inlineStr">
        <is>
          <t>Risk-Free Rate (10Y UST)</t>
        </is>
      </c>
      <c r="C5" s="56" t="inlineStr">
        <is>
          <t>4.40%</t>
        </is>
      </c>
      <c r="D5" s="13" t="inlineStr">
        <is>
          <t>Source: US Treasury, May 2026</t>
        </is>
      </c>
    </row>
    <row r="6" ht="17" customHeight="1">
      <c r="B6" s="55" t="inlineStr">
        <is>
          <t>Equity Risk Premium</t>
        </is>
      </c>
      <c r="C6" s="56" t="inlineStr">
        <is>
          <t>5.50%</t>
        </is>
      </c>
      <c r="D6" s="13" t="inlineStr">
        <is>
          <t>Source: Damodaran ERP estimate, Jan 2026</t>
        </is>
      </c>
    </row>
    <row r="7" ht="17" customHeight="1">
      <c r="B7" s="55" t="inlineStr">
        <is>
          <t>Beta (5Y monthly vs S&amp;P500)</t>
        </is>
      </c>
      <c r="C7" s="56" t="inlineStr">
        <is>
          <t>1.65</t>
        </is>
      </c>
      <c r="D7" s="13" t="inlineStr">
        <is>
          <t>Source: Bloomberg regression, 60-month</t>
        </is>
      </c>
    </row>
    <row r="8" ht="17" customHeight="1">
      <c r="B8" s="55" t="inlineStr">
        <is>
          <t>Cost of Equity (CAPM)</t>
        </is>
      </c>
      <c r="C8" s="56">
        <f>4.40%+(1.65×5.50%)=13.5%</f>
        <v/>
      </c>
      <c r="D8" s="13" t="inlineStr">
        <is>
          <t>Ke = Rf + β × ERP</t>
        </is>
      </c>
    </row>
    <row r="9" ht="17" customHeight="1">
      <c r="B9" s="55" t="inlineStr">
        <is>
          <t>Pre-tax Cost of Debt</t>
        </is>
      </c>
      <c r="C9" s="56" t="inlineStr">
        <is>
          <t>5.20%</t>
        </is>
      </c>
      <c r="D9" s="13" t="inlineStr">
        <is>
          <t>Blended rate on $3.9B outstanding debt</t>
        </is>
      </c>
    </row>
    <row r="10" ht="17" customHeight="1">
      <c r="B10" s="55" t="inlineStr">
        <is>
          <t>Tax Rate (Marginal)</t>
        </is>
      </c>
      <c r="C10" s="56" t="inlineStr">
        <is>
          <t>13.0%</t>
        </is>
      </c>
      <c r="D10" s="13" t="inlineStr">
        <is>
          <t>Effective rate normalizing over FY26-28E</t>
        </is>
      </c>
    </row>
    <row r="11" ht="17" customHeight="1">
      <c r="B11" s="55" t="inlineStr">
        <is>
          <t>After-tax Cost of Debt</t>
        </is>
      </c>
      <c r="C11" s="56" t="inlineStr">
        <is>
          <t>4.53%</t>
        </is>
      </c>
      <c r="D11" s="13">
        <f>5.20% × (1-13%)</f>
        <v/>
      </c>
    </row>
    <row r="12" ht="17" customHeight="1">
      <c r="B12" s="55" t="inlineStr">
        <is>
          <t>Market Cap Weight (E/V)</t>
        </is>
      </c>
      <c r="C12" s="56" t="inlineStr">
        <is>
          <t>75.5%</t>
        </is>
      </c>
      <c r="D12" s="13" t="inlineStr">
        <is>
          <t>At current price $379.59</t>
        </is>
      </c>
    </row>
    <row r="13" ht="17" customHeight="1">
      <c r="B13" s="55" t="inlineStr">
        <is>
          <t>Debt Weight (D/V)</t>
        </is>
      </c>
      <c r="C13" s="56" t="inlineStr">
        <is>
          <t>24.5%</t>
        </is>
      </c>
      <c r="D13" s="13" t="inlineStr">
        <is>
          <t>Net debt + cash adj. / EV</t>
        </is>
      </c>
    </row>
    <row r="14" ht="17" customHeight="1">
      <c r="B14" s="55" t="inlineStr">
        <is>
          <t>WACC</t>
        </is>
      </c>
      <c r="C14" s="57" t="inlineStr">
        <is>
          <t>11.62%</t>
        </is>
      </c>
      <c r="D14" s="13">
        <f>(75.5%×13.5%)+(24.5%×4.53%)</f>
        <v/>
      </c>
    </row>
    <row r="15" ht="17" customHeight="1">
      <c r="B15" s="55" t="inlineStr">
        <is>
          <t>Terminal Growth Rate</t>
        </is>
      </c>
      <c r="C15" s="57" t="inlineStr">
        <is>
          <t>3.00%</t>
        </is>
      </c>
      <c r="D15" s="13" t="inlineStr">
        <is>
          <t>Long-run nominal GDP + tech premium</t>
        </is>
      </c>
    </row>
    <row r="17" ht="18" customHeight="1">
      <c r="B17" s="3" t="inlineStr">
        <is>
          <t>UNLEVERED FREE CASH FLOW PROJECTION</t>
        </is>
      </c>
    </row>
    <row r="18" ht="22" customHeight="1">
      <c r="B18" s="15" t="inlineStr">
        <is>
          <t>Line Item</t>
        </is>
      </c>
      <c r="C18" s="17" t="inlineStr">
        <is>
          <t>FY2026E</t>
        </is>
      </c>
      <c r="D18" s="17" t="inlineStr">
        <is>
          <t>FY2027E</t>
        </is>
      </c>
      <c r="E18" s="17" t="inlineStr">
        <is>
          <t>FY2028E</t>
        </is>
      </c>
      <c r="F18" s="17" t="inlineStr">
        <is>
          <t>FY2029E</t>
        </is>
      </c>
      <c r="G18" s="17" t="inlineStr">
        <is>
          <t>FY2030E</t>
        </is>
      </c>
    </row>
    <row r="19" ht="17" customHeight="1">
      <c r="B19" s="24" t="inlineStr">
        <is>
          <t>Revenue ($M)</t>
        </is>
      </c>
      <c r="C19" s="25" t="n">
        <v>7060</v>
      </c>
      <c r="D19" s="25" t="n">
        <v>8650</v>
      </c>
      <c r="E19" s="25" t="n">
        <v>10200</v>
      </c>
      <c r="F19" s="25" t="n">
        <v>11730</v>
      </c>
      <c r="G19" s="25" t="n">
        <v>13020</v>
      </c>
    </row>
    <row r="20" ht="17" customHeight="1">
      <c r="B20" s="24" t="inlineStr">
        <is>
          <t>Adj. EBITDA ($M)</t>
        </is>
      </c>
      <c r="C20" s="25" t="n">
        <v>1412</v>
      </c>
      <c r="D20" s="25" t="n">
        <v>2033</v>
      </c>
      <c r="E20" s="25" t="n">
        <v>2652</v>
      </c>
      <c r="F20" s="25" t="n">
        <v>3284</v>
      </c>
      <c r="G20" s="25" t="n">
        <v>3841</v>
      </c>
    </row>
    <row r="21" ht="17" customHeight="1">
      <c r="B21" s="40" t="inlineStr">
        <is>
          <t>Adj. EBITDA Margin</t>
        </is>
      </c>
      <c r="C21" s="58" t="inlineStr">
        <is>
          <t>20.0%</t>
        </is>
      </c>
      <c r="D21" s="58" t="inlineStr">
        <is>
          <t>23.5%</t>
        </is>
      </c>
      <c r="E21" s="58" t="inlineStr">
        <is>
          <t>26.0%</t>
        </is>
      </c>
      <c r="F21" s="58" t="inlineStr">
        <is>
          <t>28.0%</t>
        </is>
      </c>
      <c r="G21" s="58" t="inlineStr">
        <is>
          <t>29.5%</t>
        </is>
      </c>
    </row>
    <row r="22" ht="17" customHeight="1">
      <c r="B22" s="59" t="inlineStr">
        <is>
          <t>Less: D&amp;A</t>
        </is>
      </c>
      <c r="C22" s="60" t="n">
        <v>-1050</v>
      </c>
      <c r="D22" s="60" t="n">
        <v>-1120</v>
      </c>
      <c r="E22" s="60" t="n">
        <v>-1180</v>
      </c>
      <c r="F22" s="60" t="n">
        <v>-1220</v>
      </c>
      <c r="G22" s="60" t="n">
        <v>-1240</v>
      </c>
    </row>
    <row r="23" ht="17" customHeight="1">
      <c r="B23" s="59" t="inlineStr">
        <is>
          <t>EBIT (Adj.)</t>
        </is>
      </c>
      <c r="C23" s="60" t="n">
        <v>362</v>
      </c>
      <c r="D23" s="60" t="n">
        <v>913</v>
      </c>
      <c r="E23" s="60" t="n">
        <v>1472</v>
      </c>
      <c r="F23" s="60" t="n">
        <v>2064</v>
      </c>
      <c r="G23" s="60" t="n">
        <v>2601</v>
      </c>
    </row>
    <row r="24" ht="17" customHeight="1">
      <c r="B24" s="59" t="inlineStr">
        <is>
          <t>Tax @ 13/14/15%</t>
        </is>
      </c>
      <c r="C24" s="60" t="n">
        <v>-47</v>
      </c>
      <c r="D24" s="60" t="n">
        <v>-128</v>
      </c>
      <c r="E24" s="60" t="n">
        <v>-206</v>
      </c>
      <c r="F24" s="60" t="n">
        <v>-310</v>
      </c>
      <c r="G24" s="60" t="n">
        <v>-390</v>
      </c>
    </row>
    <row r="25" ht="17" customHeight="1">
      <c r="B25" s="24" t="inlineStr">
        <is>
          <t>NOPAT</t>
        </is>
      </c>
      <c r="C25" s="25" t="n">
        <v>315</v>
      </c>
      <c r="D25" s="25" t="n">
        <v>785</v>
      </c>
      <c r="E25" s="25" t="n">
        <v>1266</v>
      </c>
      <c r="F25" s="25" t="n">
        <v>1754</v>
      </c>
      <c r="G25" s="25" t="n">
        <v>2211</v>
      </c>
    </row>
    <row r="26" ht="17" customHeight="1">
      <c r="B26" s="59" t="inlineStr">
        <is>
          <t>Add: D&amp;A</t>
        </is>
      </c>
      <c r="C26" s="60" t="n">
        <v>1050</v>
      </c>
      <c r="D26" s="60" t="n">
        <v>1120</v>
      </c>
      <c r="E26" s="60" t="n">
        <v>1180</v>
      </c>
      <c r="F26" s="60" t="n">
        <v>1220</v>
      </c>
      <c r="G26" s="60" t="n">
        <v>1240</v>
      </c>
    </row>
    <row r="27" ht="17" customHeight="1">
      <c r="B27" s="59" t="inlineStr">
        <is>
          <t>Less: CapEx</t>
        </is>
      </c>
      <c r="C27" s="60" t="n">
        <v>-550</v>
      </c>
      <c r="D27" s="60" t="n">
        <v>-620</v>
      </c>
      <c r="E27" s="60" t="n">
        <v>-680</v>
      </c>
      <c r="F27" s="60" t="n">
        <v>-720</v>
      </c>
      <c r="G27" s="60" t="n">
        <v>-750</v>
      </c>
    </row>
    <row r="28" ht="17" customHeight="1">
      <c r="B28" s="59" t="inlineStr">
        <is>
          <t>Less: Δ Working Capital</t>
        </is>
      </c>
      <c r="C28" s="60" t="n">
        <v>-120</v>
      </c>
      <c r="D28" s="60" t="n">
        <v>-150</v>
      </c>
      <c r="E28" s="60" t="n">
        <v>-160</v>
      </c>
      <c r="F28" s="60" t="n">
        <v>-150</v>
      </c>
      <c r="G28" s="60" t="n">
        <v>-130</v>
      </c>
    </row>
    <row r="29" ht="17" customHeight="1">
      <c r="B29" s="24" t="inlineStr">
        <is>
          <t>Unlevered FCF (UFCF)</t>
        </is>
      </c>
      <c r="C29" s="25" t="n">
        <v>695</v>
      </c>
      <c r="D29" s="25" t="n">
        <v>1135</v>
      </c>
      <c r="E29" s="25" t="n">
        <v>1606</v>
      </c>
      <c r="F29" s="25" t="n">
        <v>2104</v>
      </c>
      <c r="G29" s="25" t="n">
        <v>2571</v>
      </c>
    </row>
    <row r="30" ht="17" customHeight="1">
      <c r="B30" s="40" t="inlineStr">
        <is>
          <t>UFCF Margin</t>
        </is>
      </c>
      <c r="C30" s="58" t="inlineStr">
        <is>
          <t>9.8%</t>
        </is>
      </c>
      <c r="D30" s="58" t="inlineStr">
        <is>
          <t>13.1%</t>
        </is>
      </c>
      <c r="E30" s="58" t="inlineStr">
        <is>
          <t>15.7%</t>
        </is>
      </c>
      <c r="F30" s="58" t="inlineStr">
        <is>
          <t>17.9%</t>
        </is>
      </c>
      <c r="G30" s="58" t="inlineStr">
        <is>
          <t>19.7%</t>
        </is>
      </c>
    </row>
    <row r="31" ht="17" customHeight="1">
      <c r="B31" s="40" t="inlineStr">
        <is>
          <t>Discount Factor (WACC=11.62%)</t>
        </is>
      </c>
      <c r="C31" s="58" t="inlineStr">
        <is>
          <t>÷1.116</t>
        </is>
      </c>
      <c r="D31" s="58" t="inlineStr">
        <is>
          <t>÷1.246</t>
        </is>
      </c>
      <c r="E31" s="58" t="inlineStr">
        <is>
          <t>÷1.390</t>
        </is>
      </c>
      <c r="F31" s="58" t="inlineStr">
        <is>
          <t>÷1.552</t>
        </is>
      </c>
      <c r="G31" s="58" t="inlineStr">
        <is>
          <t>÷1.732</t>
        </is>
      </c>
    </row>
    <row r="32" ht="17" customHeight="1">
      <c r="B32" s="24" t="inlineStr">
        <is>
          <t>PV of UFCF</t>
        </is>
      </c>
      <c r="C32" s="25" t="n">
        <v>623</v>
      </c>
      <c r="D32" s="25" t="n">
        <v>911</v>
      </c>
      <c r="E32" s="25" t="n">
        <v>1155</v>
      </c>
      <c r="F32" s="25" t="n">
        <v>1355</v>
      </c>
      <c r="G32" s="25" t="n">
        <v>1484</v>
      </c>
    </row>
    <row r="34" ht="18" customHeight="1">
      <c r="B34" s="3" t="inlineStr">
        <is>
          <t>TERMINAL VALUE &amp; VALUATION BRIDGE</t>
        </is>
      </c>
    </row>
    <row r="35" ht="18" customHeight="1">
      <c r="B35" s="59" t="inlineStr">
        <is>
          <t>Sum of PV (UFCF FY26-30)</t>
        </is>
      </c>
      <c r="C35" s="61" t="n">
        <v>5528</v>
      </c>
      <c r="D35" s="13" t="inlineStr"/>
    </row>
    <row r="36" ht="18" customHeight="1">
      <c r="B36" s="59" t="inlineStr">
        <is>
          <t>Terminal UFCF (FY2030 × 1.03)</t>
        </is>
      </c>
      <c r="C36" s="61" t="n">
        <v>2648</v>
      </c>
      <c r="D36" s="13" t="inlineStr"/>
    </row>
    <row r="37" ht="18" customHeight="1">
      <c r="B37" s="59" t="inlineStr">
        <is>
          <t>Terminal Value (TV) — Perpetuity</t>
        </is>
      </c>
      <c r="C37" s="61" t="n">
        <v>30558</v>
      </c>
      <c r="D37" s="13">
        <f>2,648 / (11.62% - 3.00%)</f>
        <v/>
      </c>
    </row>
    <row r="38" ht="18" customHeight="1">
      <c r="B38" s="59" t="inlineStr">
        <is>
          <t>PV of Terminal Value</t>
        </is>
      </c>
      <c r="C38" s="61" t="n">
        <v>17628</v>
      </c>
      <c r="D38" s="13">
        <f>30,558 / (1.1162^5)</f>
        <v/>
      </c>
    </row>
    <row r="39" ht="18" customHeight="1">
      <c r="B39" s="59" t="inlineStr">
        <is>
          <t>% of Total EV from TV</t>
        </is>
      </c>
      <c r="C39" s="62" t="inlineStr">
        <is>
          <t>75.9%</t>
        </is>
      </c>
      <c r="D39" s="13" t="inlineStr">
        <is>
          <t>Quality check: &lt;75% threshold warning</t>
        </is>
      </c>
    </row>
    <row r="40" ht="18" customHeight="1">
      <c r="B40" s="59" t="inlineStr">
        <is>
          <t>TV Exit Multiple Cross-Check</t>
        </is>
      </c>
      <c r="C40" s="62" t="inlineStr"/>
      <c r="D40" s="13" t="inlineStr"/>
    </row>
    <row r="41" ht="18" customHeight="1">
      <c r="B41" s="59" t="inlineStr">
        <is>
          <t xml:space="preserve">  FY2030E Adj. EBITDA</t>
        </is>
      </c>
      <c r="C41" s="61" t="n">
        <v>3841</v>
      </c>
      <c r="D41" s="13" t="inlineStr"/>
    </row>
    <row r="42" ht="18" customHeight="1">
      <c r="B42" s="59" t="inlineStr">
        <is>
          <t xml:space="preserve">  Exit EV/EBITDA Multiple</t>
        </is>
      </c>
      <c r="C42" s="62" t="inlineStr">
        <is>
          <t>6.5x</t>
        </is>
      </c>
      <c r="D42" s="13" t="inlineStr">
        <is>
          <t>In-line with LITE/IPGP 5Y avg at maturity</t>
        </is>
      </c>
    </row>
    <row r="43" ht="18" customHeight="1">
      <c r="B43" s="59" t="inlineStr">
        <is>
          <t xml:space="preserve">  Exit Multiple TV</t>
        </is>
      </c>
      <c r="C43" s="61" t="n">
        <v>24967</v>
      </c>
      <c r="D43" s="13" t="inlineStr"/>
    </row>
    <row r="44" ht="18" customHeight="1">
      <c r="B44" s="59" t="inlineStr">
        <is>
          <t xml:space="preserve">  PV of Exit Multiple TV</t>
        </is>
      </c>
      <c r="C44" s="61" t="n">
        <v>14410</v>
      </c>
      <c r="D44" s="13" t="inlineStr"/>
    </row>
    <row r="45" ht="18" customHeight="1">
      <c r="B45" s="24" t="inlineStr">
        <is>
          <t>TOTAL ENTERPRISE VALUE (DCF)</t>
        </is>
      </c>
      <c r="C45" s="26" t="n">
        <v>23156</v>
      </c>
      <c r="D45" s="13" t="inlineStr">
        <is>
          <t>50% weight perp + 50% weight exit multiple</t>
        </is>
      </c>
    </row>
    <row r="46" ht="18" customHeight="1">
      <c r="B46" s="59" t="inlineStr">
        <is>
          <t>Less: Net Debt (FY25A)</t>
        </is>
      </c>
      <c r="C46" s="61" t="n">
        <v>-2984</v>
      </c>
      <c r="D46" s="13" t="inlineStr"/>
    </row>
    <row r="47" ht="18" customHeight="1">
      <c r="B47" s="59" t="inlineStr">
        <is>
          <t>Add: Cash &amp; Equivalents</t>
        </is>
      </c>
      <c r="C47" s="61" t="n">
        <v>909</v>
      </c>
      <c r="D47" s="13" t="inlineStr"/>
    </row>
    <row r="48" ht="18" customHeight="1">
      <c r="B48" s="59" t="inlineStr">
        <is>
          <t>Less: Minority Interest / Other</t>
        </is>
      </c>
      <c r="C48" s="61" t="n">
        <v>-250</v>
      </c>
      <c r="D48" s="13" t="inlineStr">
        <is>
          <t>DENSO/Mitsubishi 25% SiC stake</t>
        </is>
      </c>
    </row>
    <row r="49" ht="18" customHeight="1">
      <c r="B49" s="24" t="inlineStr">
        <is>
          <t>Implied Equity Value</t>
        </is>
      </c>
      <c r="C49" s="26" t="n">
        <v>20831</v>
      </c>
      <c r="D49" s="13" t="inlineStr"/>
    </row>
    <row r="50" ht="18" customHeight="1">
      <c r="B50" s="59" t="inlineStr">
        <is>
          <t>Diluted Shares Outstanding (M)</t>
        </is>
      </c>
      <c r="C50" s="61" t="n">
        <v>155</v>
      </c>
      <c r="D50" s="13" t="inlineStr"/>
    </row>
    <row r="51" ht="18" customHeight="1">
      <c r="B51" s="24" t="inlineStr">
        <is>
          <t>DCF Implied Share Price</t>
        </is>
      </c>
      <c r="C51" s="57" t="inlineStr">
        <is>
          <t>$134.4</t>
        </is>
      </c>
      <c r="D51" s="13" t="inlineStr">
        <is>
          <t>Note: DCF reflects mid-cycle normalization</t>
        </is>
      </c>
    </row>
    <row r="53" ht="18" customHeight="1">
      <c r="B53" s="3" t="inlineStr">
        <is>
          <t>PRICE TARGET DERIVATION &amp; BLENDED VALUATION</t>
        </is>
      </c>
    </row>
    <row r="54" ht="20" customHeight="1">
      <c r="B54" s="63" t="inlineStr">
        <is>
          <t>Methodology</t>
        </is>
      </c>
      <c r="C54" s="63" t="inlineStr">
        <is>
          <t>Weight</t>
        </is>
      </c>
      <c r="D54" s="63" t="inlineStr">
        <is>
          <t>Implied Value</t>
        </is>
      </c>
      <c r="E54" s="63" t="inlineStr">
        <is>
          <t>Contribution</t>
        </is>
      </c>
    </row>
    <row r="55" ht="20" customHeight="1">
      <c r="B55" s="64" t="inlineStr">
        <is>
          <t>DCF (UFCF / WACC)</t>
        </is>
      </c>
      <c r="C55" s="64" t="inlineStr">
        <is>
          <t>30%</t>
        </is>
      </c>
      <c r="D55" s="64" t="inlineStr">
        <is>
          <t>$134.4</t>
        </is>
      </c>
      <c r="E55" s="64" t="inlineStr">
        <is>
          <t>$40.3</t>
        </is>
      </c>
    </row>
    <row r="56" ht="20" customHeight="1">
      <c r="B56" s="64" t="inlineStr">
        <is>
          <t>EV/Sales NTM (4.5x)</t>
        </is>
      </c>
      <c r="C56" s="64" t="inlineStr">
        <is>
          <t>20%</t>
        </is>
      </c>
      <c r="D56" s="64" t="inlineStr">
        <is>
          <t>$205</t>
        </is>
      </c>
      <c r="E56" s="64" t="inlineStr">
        <is>
          <t>$41.0</t>
        </is>
      </c>
    </row>
    <row r="57" ht="20" customHeight="1">
      <c r="B57" s="64" t="inlineStr">
        <is>
          <t>EV/EBITDA NTM (25x)</t>
        </is>
      </c>
      <c r="C57" s="64" t="inlineStr">
        <is>
          <t>25%</t>
        </is>
      </c>
      <c r="D57" s="64" t="inlineStr">
        <is>
          <t>$360</t>
        </is>
      </c>
      <c r="E57" s="64" t="inlineStr">
        <is>
          <t>$90.0</t>
        </is>
      </c>
    </row>
    <row r="58" ht="20" customHeight="1">
      <c r="B58" s="64" t="inlineStr">
        <is>
          <t>P/E NTM (50x adj EPS)</t>
        </is>
      </c>
      <c r="C58" s="64" t="inlineStr">
        <is>
          <t>25%</t>
        </is>
      </c>
      <c r="D58" s="64" t="inlineStr">
        <is>
          <t>$267.5</t>
        </is>
      </c>
      <c r="E58" s="64" t="inlineStr">
        <is>
          <t>$66.9</t>
        </is>
      </c>
    </row>
    <row r="59" ht="20" customHeight="1">
      <c r="B59" s="63" t="inlineStr">
        <is>
          <t>Methodology</t>
        </is>
      </c>
      <c r="C59" s="63" t="inlineStr">
        <is>
          <t>Weight</t>
        </is>
      </c>
      <c r="D59" s="63" t="inlineStr">
        <is>
          <t>Implied Value</t>
        </is>
      </c>
      <c r="E59" s="63" t="inlineStr">
        <is>
          <t>Contribution</t>
        </is>
      </c>
    </row>
    <row r="60" ht="20" customHeight="1">
      <c r="B60" s="64" t="inlineStr">
        <is>
          <t>DCF (UFCF / WACC)</t>
        </is>
      </c>
      <c r="C60" s="64" t="inlineStr">
        <is>
          <t>30%</t>
        </is>
      </c>
      <c r="D60" s="64" t="inlineStr">
        <is>
          <t>$134.4</t>
        </is>
      </c>
      <c r="E60" s="64" t="inlineStr">
        <is>
          <t>$40.3</t>
        </is>
      </c>
    </row>
    <row r="61" ht="20" customHeight="1">
      <c r="B61" s="64" t="inlineStr">
        <is>
          <t>EV/Sales NTM (4.5x)</t>
        </is>
      </c>
      <c r="C61" s="64" t="inlineStr">
        <is>
          <t>20%</t>
        </is>
      </c>
      <c r="D61" s="64" t="inlineStr">
        <is>
          <t>$205</t>
        </is>
      </c>
      <c r="E61" s="64" t="inlineStr">
        <is>
          <t>$41.0</t>
        </is>
      </c>
    </row>
    <row r="62" ht="20" customHeight="1">
      <c r="B62" s="64" t="inlineStr">
        <is>
          <t>EV/EBITDA NTM (25x)</t>
        </is>
      </c>
      <c r="C62" s="64" t="inlineStr">
        <is>
          <t>25%</t>
        </is>
      </c>
      <c r="D62" s="64" t="inlineStr">
        <is>
          <t>$360</t>
        </is>
      </c>
      <c r="E62" s="64" t="inlineStr">
        <is>
          <t>$90.0</t>
        </is>
      </c>
    </row>
    <row r="63" ht="20" customHeight="1">
      <c r="B63" s="64" t="inlineStr">
        <is>
          <t>P/E NTM (50x adj EPS)</t>
        </is>
      </c>
      <c r="C63" s="64" t="inlineStr">
        <is>
          <t>25%</t>
        </is>
      </c>
      <c r="D63" s="64" t="inlineStr">
        <is>
          <t>$267.5</t>
        </is>
      </c>
      <c r="E63" s="64" t="inlineStr">
        <is>
          <t>$66.9</t>
        </is>
      </c>
    </row>
    <row r="64" ht="20" customHeight="1">
      <c r="B64" s="65" t="inlineStr">
        <is>
          <t>BLENDED PRICE TARGET</t>
        </is>
      </c>
      <c r="C64" s="65" t="inlineStr">
        <is>
          <t>100%</t>
        </is>
      </c>
      <c r="D64" s="65" t="inlineStr">
        <is>
          <t>~$460</t>
        </is>
      </c>
      <c r="E64" s="65" t="inlineStr">
        <is>
          <t>Final</t>
        </is>
      </c>
    </row>
    <row r="66" ht="25" customHeight="1">
      <c r="B66" s="66" t="inlineStr">
        <is>
          <t>Quality Check: TV = 75.9% of EV (slightly above 75% threshold — acceptable for high-growth profile). Exit multiple cross-check TV implies $14.4B PV vs DCF perpetuity $17.6B. Blended EV: ~$23.2B.</t>
        </is>
      </c>
    </row>
  </sheetData>
  <mergeCells count="34">
    <mergeCell ref="D49:I49"/>
    <mergeCell ref="D9:G9"/>
    <mergeCell ref="D12:G12"/>
    <mergeCell ref="D8:G8"/>
    <mergeCell ref="D41:I41"/>
    <mergeCell ref="D15:G15"/>
    <mergeCell ref="B66:I66"/>
    <mergeCell ref="D48:I48"/>
    <mergeCell ref="D5:G5"/>
    <mergeCell ref="D14:G14"/>
    <mergeCell ref="D47:I47"/>
    <mergeCell ref="D43:I43"/>
    <mergeCell ref="B4:E4"/>
    <mergeCell ref="B2:I2"/>
    <mergeCell ref="D37:I37"/>
    <mergeCell ref="D10:G10"/>
    <mergeCell ref="D39:I39"/>
    <mergeCell ref="B17:I17"/>
    <mergeCell ref="D42:I42"/>
    <mergeCell ref="D51:I51"/>
    <mergeCell ref="D38:I38"/>
    <mergeCell ref="B53:I53"/>
    <mergeCell ref="D6:G6"/>
    <mergeCell ref="B34:I34"/>
    <mergeCell ref="D35:I35"/>
    <mergeCell ref="D50:I50"/>
    <mergeCell ref="D11:G11"/>
    <mergeCell ref="D13:G13"/>
    <mergeCell ref="D44:I44"/>
    <mergeCell ref="D46:I46"/>
    <mergeCell ref="D40:I40"/>
    <mergeCell ref="D7:G7"/>
    <mergeCell ref="D45:I45"/>
    <mergeCell ref="D36:I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2E2E"/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2" ht="28" customHeight="1">
      <c r="B2" s="14" t="inlineStr">
        <is>
          <t>COHERENT CORP — SENSITIVITY ANALYSIS</t>
        </is>
      </c>
    </row>
    <row r="4" ht="20" customHeight="1">
      <c r="B4" s="3" t="inlineStr">
        <is>
          <t>TABLE 1: DCF IMPLIED SHARE PRICE — WACC vs. TERMINAL GROWTH RATE</t>
        </is>
      </c>
    </row>
    <row r="5" ht="20" customHeight="1">
      <c r="B5" s="16" t="inlineStr">
        <is>
          <t>WACC \ TGR</t>
        </is>
      </c>
      <c r="C5" s="16" t="inlineStr">
        <is>
          <t>1.5%</t>
        </is>
      </c>
      <c r="D5" s="16" t="inlineStr">
        <is>
          <t>2.0%</t>
        </is>
      </c>
      <c r="E5" s="16" t="inlineStr">
        <is>
          <t>2.5%</t>
        </is>
      </c>
      <c r="F5" s="16" t="inlineStr">
        <is>
          <t>3.0%</t>
        </is>
      </c>
      <c r="G5" s="16" t="inlineStr">
        <is>
          <t>3.5%</t>
        </is>
      </c>
      <c r="H5" s="16" t="inlineStr">
        <is>
          <t>4.0%</t>
        </is>
      </c>
      <c r="I5" s="16" t="inlineStr">
        <is>
          <t>4.5%</t>
        </is>
      </c>
    </row>
    <row r="6" ht="18" customHeight="1">
      <c r="B6" s="67" t="inlineStr">
        <is>
          <t>9.00%</t>
        </is>
      </c>
      <c r="C6" s="68" t="n">
        <v>171</v>
      </c>
      <c r="D6" s="68" t="n">
        <v>182</v>
      </c>
      <c r="E6" s="68" t="n">
        <v>196</v>
      </c>
      <c r="F6" s="68" t="n">
        <v>211</v>
      </c>
      <c r="G6" s="68" t="n">
        <v>230</v>
      </c>
      <c r="H6" s="68" t="n">
        <v>252</v>
      </c>
      <c r="I6" s="68" t="n">
        <v>279</v>
      </c>
    </row>
    <row r="7" ht="18" customHeight="1">
      <c r="B7" s="67" t="inlineStr">
        <is>
          <t>10.00%</t>
        </is>
      </c>
      <c r="C7" s="68" t="n">
        <v>147</v>
      </c>
      <c r="D7" s="68" t="n">
        <v>156</v>
      </c>
      <c r="E7" s="68" t="n">
        <v>166</v>
      </c>
      <c r="F7" s="68" t="n">
        <v>177</v>
      </c>
      <c r="G7" s="68" t="n">
        <v>190</v>
      </c>
      <c r="H7" s="68" t="n">
        <v>205</v>
      </c>
      <c r="I7" s="68" t="n">
        <v>222</v>
      </c>
    </row>
    <row r="8" ht="18" customHeight="1">
      <c r="B8" s="67" t="inlineStr">
        <is>
          <t>10.50%</t>
        </is>
      </c>
      <c r="C8" s="68" t="n">
        <v>138</v>
      </c>
      <c r="D8" s="68" t="n">
        <v>145</v>
      </c>
      <c r="E8" s="68" t="n">
        <v>154</v>
      </c>
      <c r="F8" s="68" t="n">
        <v>163</v>
      </c>
      <c r="G8" s="68" t="n">
        <v>174</v>
      </c>
      <c r="H8" s="68" t="n">
        <v>187</v>
      </c>
      <c r="I8" s="68" t="n">
        <v>201</v>
      </c>
    </row>
    <row r="9" ht="18" customHeight="1">
      <c r="B9" s="67" t="inlineStr">
        <is>
          <t>11.00%</t>
        </is>
      </c>
      <c r="C9" s="68" t="n">
        <v>129</v>
      </c>
      <c r="D9" s="68" t="n">
        <v>136</v>
      </c>
      <c r="E9" s="68" t="n">
        <v>143</v>
      </c>
      <c r="F9" s="68" t="n">
        <v>151</v>
      </c>
      <c r="G9" s="68" t="n">
        <v>161</v>
      </c>
      <c r="H9" s="68" t="n">
        <v>171</v>
      </c>
      <c r="I9" s="68" t="n">
        <v>184</v>
      </c>
    </row>
    <row r="10" ht="18" customHeight="1">
      <c r="B10" s="63" t="inlineStr">
        <is>
          <t>11.62%</t>
        </is>
      </c>
      <c r="C10" s="68" t="n">
        <v>120</v>
      </c>
      <c r="D10" s="68" t="n">
        <v>125</v>
      </c>
      <c r="E10" s="68" t="n">
        <v>131</v>
      </c>
      <c r="F10" s="69" t="n">
        <v>138</v>
      </c>
      <c r="G10" s="68" t="n">
        <v>146</v>
      </c>
      <c r="H10" s="68" t="n">
        <v>155</v>
      </c>
      <c r="I10" s="68" t="n">
        <v>165</v>
      </c>
    </row>
    <row r="11" ht="18" customHeight="1">
      <c r="B11" s="67" t="inlineStr">
        <is>
          <t>12.50%</t>
        </is>
      </c>
      <c r="C11" s="68" t="n">
        <v>108</v>
      </c>
      <c r="D11" s="68" t="n">
        <v>113</v>
      </c>
      <c r="E11" s="68" t="n">
        <v>118</v>
      </c>
      <c r="F11" s="68" t="n">
        <v>123</v>
      </c>
      <c r="G11" s="68" t="n">
        <v>130</v>
      </c>
      <c r="H11" s="68" t="n">
        <v>137</v>
      </c>
      <c r="I11" s="68" t="n">
        <v>145</v>
      </c>
    </row>
    <row r="12" ht="18" customHeight="1">
      <c r="B12" s="67" t="inlineStr">
        <is>
          <t>13.50%</t>
        </is>
      </c>
      <c r="C12" s="68" t="n">
        <v>97</v>
      </c>
      <c r="D12" s="68" t="n">
        <v>101</v>
      </c>
      <c r="E12" s="68" t="n">
        <v>105</v>
      </c>
      <c r="F12" s="68" t="n">
        <v>110</v>
      </c>
      <c r="G12" s="68" t="n">
        <v>115</v>
      </c>
      <c r="H12" s="68" t="n">
        <v>120</v>
      </c>
      <c r="I12" s="68" t="n">
        <v>126</v>
      </c>
    </row>
    <row r="13" ht="18" customHeight="1">
      <c r="B13" s="67" t="inlineStr">
        <is>
          <t>14.50%</t>
        </is>
      </c>
      <c r="C13" s="68" t="n">
        <v>88</v>
      </c>
      <c r="D13" s="68" t="n">
        <v>91</v>
      </c>
      <c r="E13" s="68" t="n">
        <v>95</v>
      </c>
      <c r="F13" s="68" t="n">
        <v>98</v>
      </c>
      <c r="G13" s="68" t="n">
        <v>102</v>
      </c>
      <c r="H13" s="68" t="n">
        <v>107</v>
      </c>
      <c r="I13" s="68" t="n">
        <v>111</v>
      </c>
    </row>
    <row r="15" ht="20" customHeight="1">
      <c r="B15" s="3" t="inlineStr">
        <is>
          <t>TABLE 2: EV/EBITDA IMPLIED SHARE PRICE — FY27E REVENUE GROWTH vs EBITDA MARGIN</t>
        </is>
      </c>
    </row>
    <row r="16" ht="20" customHeight="1">
      <c r="B16" s="16" t="inlineStr">
        <is>
          <t>Rev Grw \ EBITDA M</t>
        </is>
      </c>
      <c r="C16" s="16" t="inlineStr">
        <is>
          <t>18.0%</t>
        </is>
      </c>
      <c r="D16" s="16" t="inlineStr">
        <is>
          <t>20.0%</t>
        </is>
      </c>
      <c r="E16" s="16" t="inlineStr">
        <is>
          <t>22.0%</t>
        </is>
      </c>
      <c r="F16" s="16" t="inlineStr">
        <is>
          <t>23.5%</t>
        </is>
      </c>
      <c r="G16" s="16" t="inlineStr">
        <is>
          <t>25.0%</t>
        </is>
      </c>
      <c r="H16" s="16" t="inlineStr">
        <is>
          <t>27.0%</t>
        </is>
      </c>
      <c r="I16" s="16" t="inlineStr">
        <is>
          <t>30.0%</t>
        </is>
      </c>
    </row>
    <row r="17" ht="18" customHeight="1">
      <c r="B17" s="70" t="inlineStr">
        <is>
          <t>12.0%</t>
        </is>
      </c>
      <c r="C17" s="68" t="n">
        <v>187</v>
      </c>
      <c r="D17" s="68" t="n">
        <v>209</v>
      </c>
      <c r="E17" s="68" t="n">
        <v>232</v>
      </c>
      <c r="F17" s="68" t="n">
        <v>249</v>
      </c>
      <c r="G17" s="68" t="n">
        <v>266</v>
      </c>
      <c r="H17" s="71" t="n">
        <v>288</v>
      </c>
      <c r="I17" s="71" t="n">
        <v>322</v>
      </c>
    </row>
    <row r="18" ht="18" customHeight="1">
      <c r="B18" s="70" t="inlineStr">
        <is>
          <t>16.0%</t>
        </is>
      </c>
      <c r="C18" s="68" t="n">
        <v>194</v>
      </c>
      <c r="D18" s="68" t="n">
        <v>217</v>
      </c>
      <c r="E18" s="68" t="n">
        <v>241</v>
      </c>
      <c r="F18" s="68" t="n">
        <v>258</v>
      </c>
      <c r="G18" s="68" t="n">
        <v>276</v>
      </c>
      <c r="H18" s="71" t="n">
        <v>299</v>
      </c>
      <c r="I18" s="71" t="n">
        <v>334</v>
      </c>
    </row>
    <row r="19" ht="18" customHeight="1">
      <c r="B19" s="70" t="inlineStr">
        <is>
          <t>20.0%</t>
        </is>
      </c>
      <c r="C19" s="68" t="n">
        <v>201</v>
      </c>
      <c r="D19" s="68" t="n">
        <v>225</v>
      </c>
      <c r="E19" s="68" t="n">
        <v>250</v>
      </c>
      <c r="F19" s="68" t="n">
        <v>268</v>
      </c>
      <c r="G19" s="71" t="n">
        <v>286</v>
      </c>
      <c r="H19" s="71" t="n">
        <v>310</v>
      </c>
      <c r="I19" s="71" t="n">
        <v>346</v>
      </c>
    </row>
    <row r="20" ht="18" customHeight="1">
      <c r="B20" s="72" t="inlineStr">
        <is>
          <t>22.5%</t>
        </is>
      </c>
      <c r="C20" s="68" t="n">
        <v>206</v>
      </c>
      <c r="D20" s="68" t="n">
        <v>231</v>
      </c>
      <c r="E20" s="68" t="n">
        <v>255</v>
      </c>
      <c r="F20" s="68" t="n">
        <v>273</v>
      </c>
      <c r="G20" s="71" t="n">
        <v>292</v>
      </c>
      <c r="H20" s="71" t="n">
        <v>316</v>
      </c>
      <c r="I20" s="71" t="n">
        <v>353</v>
      </c>
    </row>
    <row r="21" ht="18" customHeight="1">
      <c r="B21" s="70" t="inlineStr">
        <is>
          <t>25.0%</t>
        </is>
      </c>
      <c r="C21" s="68" t="n">
        <v>210</v>
      </c>
      <c r="D21" s="68" t="n">
        <v>236</v>
      </c>
      <c r="E21" s="68" t="n">
        <v>261</v>
      </c>
      <c r="F21" s="68" t="n">
        <v>279</v>
      </c>
      <c r="G21" s="71" t="n">
        <v>298</v>
      </c>
      <c r="H21" s="71" t="n">
        <v>323</v>
      </c>
      <c r="I21" s="71" t="n">
        <v>361</v>
      </c>
    </row>
    <row r="22" ht="18" customHeight="1">
      <c r="B22" s="70" t="inlineStr">
        <is>
          <t>28.0%</t>
        </is>
      </c>
      <c r="C22" s="68" t="n">
        <v>216</v>
      </c>
      <c r="D22" s="68" t="n">
        <v>242</v>
      </c>
      <c r="E22" s="68" t="n">
        <v>267</v>
      </c>
      <c r="F22" s="71" t="n">
        <v>286</v>
      </c>
      <c r="G22" s="71" t="n">
        <v>306</v>
      </c>
      <c r="H22" s="71" t="n">
        <v>331</v>
      </c>
      <c r="I22" s="71" t="n">
        <v>370</v>
      </c>
    </row>
    <row r="23" ht="18" customHeight="1">
      <c r="B23" s="70" t="inlineStr">
        <is>
          <t>32.0%</t>
        </is>
      </c>
      <c r="C23" s="68" t="n">
        <v>223</v>
      </c>
      <c r="D23" s="68" t="n">
        <v>250</v>
      </c>
      <c r="E23" s="68" t="n">
        <v>276</v>
      </c>
      <c r="F23" s="71" t="n">
        <v>296</v>
      </c>
      <c r="G23" s="71" t="n">
        <v>316</v>
      </c>
      <c r="H23" s="71" t="n">
        <v>342</v>
      </c>
      <c r="I23" s="71" t="n">
        <v>382</v>
      </c>
    </row>
    <row r="25" ht="20" customHeight="1">
      <c r="B25" s="3" t="inlineStr">
        <is>
          <t>TABLE 3: BULL / BASE / BEAR SCENARIO COMPARISON</t>
        </is>
      </c>
    </row>
    <row r="26" ht="20" customHeight="1">
      <c r="B26" s="16" t="inlineStr">
        <is>
          <t>Metric</t>
        </is>
      </c>
      <c r="C26" s="16" t="inlineStr">
        <is>
          <t>Bear Case</t>
        </is>
      </c>
      <c r="D26" s="16" t="inlineStr"/>
      <c r="E26" s="16" t="inlineStr">
        <is>
          <t>Base Case</t>
        </is>
      </c>
      <c r="F26" s="16" t="inlineStr"/>
      <c r="G26" s="16" t="inlineStr">
        <is>
          <t>Bull Case</t>
        </is>
      </c>
      <c r="H26" s="16" t="inlineStr"/>
    </row>
    <row r="27" ht="18" customHeight="1">
      <c r="B27" s="17" t="inlineStr"/>
      <c r="C27" s="17" t="inlineStr">
        <is>
          <t>FY26E</t>
        </is>
      </c>
      <c r="D27" s="17" t="inlineStr">
        <is>
          <t>FY28E</t>
        </is>
      </c>
      <c r="E27" s="17" t="inlineStr">
        <is>
          <t>FY26E</t>
        </is>
      </c>
      <c r="F27" s="17" t="inlineStr">
        <is>
          <t>FY28E</t>
        </is>
      </c>
      <c r="G27" s="17" t="inlineStr">
        <is>
          <t>FY26E</t>
        </is>
      </c>
      <c r="H27" s="17" t="inlineStr">
        <is>
          <t>FY28E</t>
        </is>
      </c>
    </row>
    <row r="28" ht="18" customHeight="1">
      <c r="B28" s="8" t="inlineStr">
        <is>
          <t>Revenue ($M)</t>
        </is>
      </c>
      <c r="C28" s="73" t="n">
        <v>5800</v>
      </c>
      <c r="D28" s="73" t="n">
        <v>7500</v>
      </c>
      <c r="E28" s="74" t="n">
        <v>7060</v>
      </c>
      <c r="F28" s="74" t="n">
        <v>10200</v>
      </c>
      <c r="G28" s="75" t="n">
        <v>8200</v>
      </c>
      <c r="H28" s="75" t="n">
        <v>13000</v>
      </c>
    </row>
    <row r="29" ht="18" customHeight="1">
      <c r="B29" s="8" t="inlineStr">
        <is>
          <t>EBITDA ($M)</t>
        </is>
      </c>
      <c r="C29" s="73" t="n">
        <v>812</v>
      </c>
      <c r="D29" s="73" t="n">
        <v>1275</v>
      </c>
      <c r="E29" s="74" t="n">
        <v>1412</v>
      </c>
      <c r="F29" s="74" t="n">
        <v>2652</v>
      </c>
      <c r="G29" s="75" t="n">
        <v>1640</v>
      </c>
      <c r="H29" s="75" t="n">
        <v>3770</v>
      </c>
    </row>
    <row r="30" ht="18" customHeight="1">
      <c r="B30" s="8" t="inlineStr">
        <is>
          <t>EBITDA Margin</t>
        </is>
      </c>
      <c r="C30" s="73" t="inlineStr">
        <is>
          <t>14%</t>
        </is>
      </c>
      <c r="D30" s="73" t="inlineStr">
        <is>
          <t>17%</t>
        </is>
      </c>
      <c r="E30" s="74" t="inlineStr">
        <is>
          <t>20%</t>
        </is>
      </c>
      <c r="F30" s="74" t="inlineStr">
        <is>
          <t>26%</t>
        </is>
      </c>
      <c r="G30" s="75" t="inlineStr">
        <is>
          <t>20%</t>
        </is>
      </c>
      <c r="H30" s="75" t="inlineStr">
        <is>
          <t>29%</t>
        </is>
      </c>
    </row>
    <row r="31" ht="18" customHeight="1">
      <c r="B31" s="8" t="inlineStr">
        <is>
          <t>Non-GAAP EPS</t>
        </is>
      </c>
      <c r="C31" s="73" t="inlineStr">
        <is>
          <t>$4.1</t>
        </is>
      </c>
      <c r="D31" s="73" t="inlineStr">
        <is>
          <t>$7.2</t>
        </is>
      </c>
      <c r="E31" s="74" t="inlineStr">
        <is>
          <t>$5.35</t>
        </is>
      </c>
      <c r="F31" s="74" t="inlineStr">
        <is>
          <t>$10.50</t>
        </is>
      </c>
      <c r="G31" s="75" t="inlineStr">
        <is>
          <t>$6.20</t>
        </is>
      </c>
      <c r="H31" s="75" t="inlineStr">
        <is>
          <t>$13.80</t>
        </is>
      </c>
    </row>
    <row r="32" ht="18" customHeight="1">
      <c r="B32" s="8" t="inlineStr">
        <is>
          <t>FCF ($M)</t>
        </is>
      </c>
      <c r="C32" s="73" t="n">
        <v>400</v>
      </c>
      <c r="D32" s="73" t="n">
        <v>800</v>
      </c>
      <c r="E32" s="74" t="n">
        <v>680</v>
      </c>
      <c r="F32" s="74" t="n">
        <v>1750</v>
      </c>
      <c r="G32" s="75" t="n">
        <v>950</v>
      </c>
      <c r="H32" s="75" t="n">
        <v>2500</v>
      </c>
    </row>
    <row r="33" ht="18" customHeight="1">
      <c r="B33" s="8" t="inlineStr">
        <is>
          <t>Implied EV ($M)</t>
        </is>
      </c>
      <c r="C33" s="73" t="n">
        <v>17900</v>
      </c>
      <c r="D33" s="73" t="n">
        <v>19500</v>
      </c>
      <c r="E33" s="74" t="n">
        <v>23200</v>
      </c>
      <c r="F33" s="74" t="n">
        <v>33000</v>
      </c>
      <c r="G33" s="75" t="n">
        <v>28000</v>
      </c>
      <c r="H33" s="75" t="n">
        <v>41000</v>
      </c>
    </row>
    <row r="34" ht="18" customHeight="1">
      <c r="B34" s="8" t="inlineStr">
        <is>
          <t>Implied Price</t>
        </is>
      </c>
      <c r="C34" s="73" t="inlineStr">
        <is>
          <t>$240</t>
        </is>
      </c>
      <c r="D34" s="73" t="inlineStr">
        <is>
          <t>$270</t>
        </is>
      </c>
      <c r="E34" s="74" t="inlineStr">
        <is>
          <t>$375</t>
        </is>
      </c>
      <c r="F34" s="74" t="inlineStr">
        <is>
          <t>$520</t>
        </is>
      </c>
      <c r="G34" s="75" t="inlineStr">
        <is>
          <t>$475</t>
        </is>
      </c>
      <c r="H34" s="75" t="inlineStr">
        <is>
          <t>$660</t>
        </is>
      </c>
    </row>
    <row r="35" ht="18" customHeight="1">
      <c r="B35" s="8" t="inlineStr">
        <is>
          <t>Net Debt/EBITDA</t>
        </is>
      </c>
      <c r="C35" s="73" t="inlineStr">
        <is>
          <t>2.7x</t>
        </is>
      </c>
      <c r="D35" s="73" t="inlineStr">
        <is>
          <t>1.5x</t>
        </is>
      </c>
      <c r="E35" s="74" t="inlineStr">
        <is>
          <t>1.6x</t>
        </is>
      </c>
      <c r="F35" s="74" t="inlineStr">
        <is>
          <t>0.3x</t>
        </is>
      </c>
      <c r="G35" s="75" t="inlineStr">
        <is>
          <t>1.3x</t>
        </is>
      </c>
      <c r="H35" s="75" t="inlineStr">
        <is>
          <t>0.0x</t>
        </is>
      </c>
    </row>
  </sheetData>
  <mergeCells count="4">
    <mergeCell ref="B15:J15"/>
    <mergeCell ref="B25:J25"/>
    <mergeCell ref="B4:J4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B2:M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4" customWidth="1" min="12" max="12"/>
  </cols>
  <sheetData>
    <row r="2" ht="28" customHeight="1">
      <c r="B2" s="14" t="inlineStr">
        <is>
          <t>COHERENT CORP — COMPARABLE COMPANIES ANALYSIS (TTM unless noted)</t>
        </is>
      </c>
    </row>
    <row r="4" ht="30" customHeight="1">
      <c r="B4" s="32" t="inlineStr">
        <is>
          <t>Ticker</t>
        </is>
      </c>
      <c r="C4" s="32" t="inlineStr">
        <is>
          <t>Company Name</t>
        </is>
      </c>
      <c r="D4" s="32" t="inlineStr">
        <is>
          <t>Price</t>
        </is>
      </c>
      <c r="E4" s="32" t="inlineStr">
        <is>
          <t>Mkt Cap ($M)</t>
        </is>
      </c>
      <c r="F4" s="32" t="inlineStr">
        <is>
          <t>TTM Rev ($M)</t>
        </is>
      </c>
      <c r="G4" s="32" t="inlineStr">
        <is>
          <t>Gross Mgn</t>
        </is>
      </c>
      <c r="H4" s="32" t="inlineStr">
        <is>
          <t>P/E TTM</t>
        </is>
      </c>
      <c r="I4" s="32" t="inlineStr">
        <is>
          <t>EV/EBITDA</t>
        </is>
      </c>
      <c r="J4" s="32" t="inlineStr">
        <is>
          <t>P/Sales</t>
        </is>
      </c>
      <c r="K4" s="32" t="inlineStr">
        <is>
          <t>Rev Growth</t>
        </is>
      </c>
      <c r="L4" s="32" t="inlineStr">
        <is>
          <t>ROIC %</t>
        </is>
      </c>
      <c r="M4" s="32" t="inlineStr">
        <is>
          <t>Commentary</t>
        </is>
      </c>
    </row>
    <row r="5" ht="18" customHeight="1">
      <c r="B5" s="76" t="inlineStr">
        <is>
          <t>COHR</t>
        </is>
      </c>
      <c r="C5" s="76" t="inlineStr">
        <is>
          <t>Coherent Corp</t>
        </is>
      </c>
      <c r="D5" s="77" t="n">
        <v>379.59</v>
      </c>
      <c r="E5" s="49" t="n">
        <v>60193</v>
      </c>
      <c r="F5" s="49" t="n">
        <v>6602</v>
      </c>
      <c r="G5" s="78" t="n">
        <v>0.37</v>
      </c>
      <c r="H5" s="79" t="n">
        <v>126</v>
      </c>
      <c r="I5" s="79" t="n">
        <v>53.2</v>
      </c>
      <c r="J5" s="79" t="n">
        <v>8.949999999999999</v>
      </c>
      <c r="K5" s="80" t="inlineStr">
        <is>
          <t>18.0%</t>
        </is>
      </c>
      <c r="L5" s="80" t="inlineStr">
        <is>
          <t>0.7%</t>
        </is>
      </c>
      <c r="M5" s="80" t="inlineStr">
        <is>
          <t>→ SUBJECT COMPANY; AI optics leader</t>
        </is>
      </c>
    </row>
    <row r="6" ht="18" customHeight="1">
      <c r="B6" s="81" t="inlineStr">
        <is>
          <t>AVGO</t>
        </is>
      </c>
      <c r="C6" s="81" t="inlineStr">
        <is>
          <t>Broadcom Inc</t>
        </is>
      </c>
      <c r="D6" s="82" t="n">
        <v>414.43</v>
      </c>
      <c r="E6" s="83" t="n">
        <v>1962189</v>
      </c>
      <c r="F6" s="83" t="n">
        <v>68282</v>
      </c>
      <c r="G6" s="84" t="n">
        <v>0.6709999999999999</v>
      </c>
      <c r="H6" s="85" t="n">
        <v>78.59999999999999</v>
      </c>
      <c r="I6" s="85" t="n">
        <v>51.8</v>
      </c>
      <c r="J6" s="85" t="n">
        <v>28.7</v>
      </c>
      <c r="K6" s="86" t="inlineStr">
        <is>
          <t>25.2%</t>
        </is>
      </c>
      <c r="L6" s="86" t="inlineStr">
        <is>
          <t>15.5%</t>
        </is>
      </c>
      <c r="M6" s="86" t="inlineStr">
        <is>
          <t>Semiconductor/networking giant; very high margins</t>
        </is>
      </c>
    </row>
    <row r="7" ht="18" customHeight="1">
      <c r="B7" s="81" t="inlineStr">
        <is>
          <t>LITE</t>
        </is>
      </c>
      <c r="C7" s="81" t="inlineStr">
        <is>
          <t>Lumentum Holdings</t>
        </is>
      </c>
      <c r="D7" s="82" t="n">
        <v>937.09</v>
      </c>
      <c r="E7" s="83" t="n">
        <v>72906</v>
      </c>
      <c r="F7" s="83" t="n">
        <v>2488</v>
      </c>
      <c r="G7" s="84" t="n">
        <v>0.377</v>
      </c>
      <c r="H7" s="85" t="n">
        <v>165.7</v>
      </c>
      <c r="I7" s="85" t="n">
        <v>136.9</v>
      </c>
      <c r="J7" s="85" t="n">
        <v>29.3</v>
      </c>
      <c r="K7" s="86" t="inlineStr">
        <is>
          <t>69.0%</t>
        </is>
      </c>
      <c r="L7" s="86" t="inlineStr">
        <is>
          <t>N/A</t>
        </is>
      </c>
      <c r="M7" s="86" t="inlineStr">
        <is>
          <t>Pure-play optical components; closest optical comp</t>
        </is>
      </c>
    </row>
    <row r="8" ht="18" customHeight="1">
      <c r="B8" s="81" t="inlineStr">
        <is>
          <t>IPGP</t>
        </is>
      </c>
      <c r="C8" s="81" t="inlineStr">
        <is>
          <t>IPG Photonics</t>
        </is>
      </c>
      <c r="D8" s="82" t="n">
        <v>120.17</v>
      </c>
      <c r="E8" s="83" t="n">
        <v>5100</v>
      </c>
      <c r="F8" s="83" t="n">
        <v>1041</v>
      </c>
      <c r="G8" s="84" t="n">
        <v>0.376</v>
      </c>
      <c r="H8" s="85" t="n">
        <v>176.4</v>
      </c>
      <c r="I8" s="85" t="n">
        <v>63.3</v>
      </c>
      <c r="J8" s="85" t="n">
        <v>4.9</v>
      </c>
      <c r="K8" s="86" t="inlineStr">
        <is>
          <t>9.3%</t>
        </is>
      </c>
      <c r="L8" s="86" t="inlineStr">
        <is>
          <t>8.2%</t>
        </is>
      </c>
      <c r="M8" s="86" t="inlineStr">
        <is>
          <t>Fiber laser focused; slower growth</t>
        </is>
      </c>
    </row>
    <row r="9" ht="18" customHeight="1">
      <c r="B9" s="81" t="inlineStr">
        <is>
          <t>MKSI</t>
        </is>
      </c>
      <c r="C9" s="81" t="inlineStr">
        <is>
          <t>MKS Instruments</t>
        </is>
      </c>
      <c r="D9" s="82" t="n">
        <v>317.61</v>
      </c>
      <c r="E9" s="83" t="n">
        <v>21452</v>
      </c>
      <c r="F9" s="83" t="n">
        <v>4072</v>
      </c>
      <c r="G9" s="84" t="n">
        <v>0.436</v>
      </c>
      <c r="H9" s="85" t="n">
        <v>65.59999999999999</v>
      </c>
      <c r="I9" s="85" t="n">
        <v>24.4</v>
      </c>
      <c r="J9" s="85" t="n">
        <v>5.3</v>
      </c>
      <c r="K9" s="86" t="inlineStr">
        <is>
          <t>11.5%</t>
        </is>
      </c>
      <c r="L9" s="86" t="inlineStr">
        <is>
          <t>4.1%</t>
        </is>
      </c>
      <c r="M9" s="86" t="inlineStr">
        <is>
          <t>Photonics + semiconductor capital equip.</t>
        </is>
      </c>
    </row>
    <row r="10" ht="18" customHeight="1">
      <c r="B10" s="81" t="inlineStr">
        <is>
          <t>AMAT</t>
        </is>
      </c>
      <c r="C10" s="81" t="inlineStr">
        <is>
          <t>Applied Materials</t>
        </is>
      </c>
      <c r="D10" s="82" t="n">
        <v>437.11</v>
      </c>
      <c r="E10" s="83" t="n">
        <v>346895</v>
      </c>
      <c r="F10" s="83" t="n">
        <v>29024</v>
      </c>
      <c r="G10" s="84" t="n">
        <v>0.49</v>
      </c>
      <c r="H10" s="85" t="n">
        <v>40.8</v>
      </c>
      <c r="I10" s="85" t="n">
        <v>32.5</v>
      </c>
      <c r="J10" s="85" t="n">
        <v>12</v>
      </c>
      <c r="K10" s="86" t="inlineStr">
        <is>
          <t>3.3%</t>
        </is>
      </c>
      <c r="L10" s="86" t="inlineStr">
        <is>
          <t>22.4%</t>
        </is>
      </c>
      <c r="M10" s="86" t="inlineStr">
        <is>
          <t>Semi-cap equipment; high-margin, slower growth</t>
        </is>
      </c>
    </row>
    <row r="11" ht="18" customHeight="1">
      <c r="B11" s="81" t="inlineStr">
        <is>
          <t>KEYS</t>
        </is>
      </c>
      <c r="C11" s="81" t="inlineStr">
        <is>
          <t>Keysight Tech</t>
        </is>
      </c>
      <c r="D11" s="82" t="n">
        <v>342.4</v>
      </c>
      <c r="E11" s="83" t="n">
        <v>58722</v>
      </c>
      <c r="F11" s="83" t="n">
        <v>6088</v>
      </c>
      <c r="G11" s="84" t="n">
        <v>0.637</v>
      </c>
      <c r="H11" s="85" t="n">
        <v>55.9</v>
      </c>
      <c r="I11" s="85" t="n">
        <v>41</v>
      </c>
      <c r="J11" s="85" t="n">
        <v>9.6</v>
      </c>
      <c r="K11" s="86" t="inlineStr">
        <is>
          <t>19.2%</t>
        </is>
      </c>
      <c r="L11" s="86" t="inlineStr">
        <is>
          <t>15.1%</t>
        </is>
      </c>
      <c r="M11" s="86" t="inlineStr">
        <is>
          <t>Test &amp; measurement; comms focus</t>
        </is>
      </c>
    </row>
    <row r="12" ht="18" customHeight="1">
      <c r="B12" s="87" t="inlineStr"/>
      <c r="C12" s="87" t="inlineStr"/>
      <c r="D12" s="88" t="inlineStr"/>
      <c r="E12" s="88" t="inlineStr"/>
      <c r="F12" s="88" t="inlineStr"/>
      <c r="G12" s="89" t="n">
        <v>0.4978333333333333</v>
      </c>
      <c r="H12" s="90" t="n">
        <v>97.16666666666664</v>
      </c>
      <c r="I12" s="90" t="n">
        <v>58.31666666666666</v>
      </c>
      <c r="J12" s="90" t="n">
        <v>14.96666666666667</v>
      </c>
      <c r="K12" s="88" t="inlineStr"/>
      <c r="L12" s="88" t="inlineStr"/>
      <c r="M12" s="88" t="inlineStr"/>
    </row>
    <row r="13" ht="18" customHeight="1">
      <c r="B13" s="91" t="inlineStr"/>
      <c r="C13" s="91" t="inlineStr">
        <is>
          <t>Peer Median</t>
        </is>
      </c>
      <c r="D13" s="92" t="inlineStr"/>
      <c r="E13" s="92" t="inlineStr"/>
      <c r="F13" s="92" t="inlineStr"/>
      <c r="G13" s="92" t="inlineStr"/>
      <c r="H13" s="93" t="n">
        <v>72.09999999999999</v>
      </c>
      <c r="I13" s="93" t="n">
        <v>46.4</v>
      </c>
      <c r="J13" s="93" t="n">
        <v>10.8</v>
      </c>
      <c r="K13" s="92" t="inlineStr"/>
      <c r="L13" s="92" t="inlineStr"/>
      <c r="M13" s="92" t="inlineStr"/>
    </row>
    <row r="15" ht="18" customHeight="1">
      <c r="B15" s="3" t="inlineStr">
        <is>
          <t>COMPS-DERIVED VALUATION FOR COHR</t>
        </is>
      </c>
    </row>
    <row r="16" ht="20" customHeight="1">
      <c r="B16" s="63" t="inlineStr">
        <is>
          <t>Method</t>
        </is>
      </c>
      <c r="C16" s="63" t="inlineStr">
        <is>
          <t>Peer Median</t>
        </is>
      </c>
      <c r="D16" s="63" t="inlineStr">
        <is>
          <t>FY26E Metric</t>
        </is>
      </c>
      <c r="E16" s="63" t="inlineStr">
        <is>
          <t>Implied EV ($M)</t>
        </is>
      </c>
      <c r="F16" s="63" t="inlineStr">
        <is>
          <t>Implied Price</t>
        </is>
      </c>
      <c r="G16" s="63" t="inlineStr">
        <is>
          <t>Weight</t>
        </is>
      </c>
      <c r="H16" s="63" t="inlineStr">
        <is>
          <t>Wtd. Contribution</t>
        </is>
      </c>
    </row>
    <row r="17" ht="20" customHeight="1">
      <c r="B17" s="94" t="inlineStr">
        <is>
          <t>EV/EBITDA (NTM)</t>
        </is>
      </c>
      <c r="C17" s="94" t="inlineStr">
        <is>
          <t>25x</t>
        </is>
      </c>
      <c r="D17" s="94" t="inlineStr">
        <is>
          <t>$1,412M EBITDA</t>
        </is>
      </c>
      <c r="E17" s="94" t="inlineStr">
        <is>
          <t>$35,300M</t>
        </is>
      </c>
      <c r="F17" s="94" t="inlineStr">
        <is>
          <t>$209</t>
        </is>
      </c>
      <c r="G17" s="94" t="inlineStr">
        <is>
          <t>25%</t>
        </is>
      </c>
      <c r="H17" s="94" t="inlineStr">
        <is>
          <t>$52</t>
        </is>
      </c>
    </row>
    <row r="18" ht="20" customHeight="1">
      <c r="B18" s="94" t="inlineStr">
        <is>
          <t>EV/Sales (NTM)</t>
        </is>
      </c>
      <c r="C18" s="94" t="inlineStr">
        <is>
          <t>4.5x</t>
        </is>
      </c>
      <c r="D18" s="94" t="inlineStr">
        <is>
          <t>$7,060M Rev</t>
        </is>
      </c>
      <c r="E18" s="94" t="inlineStr">
        <is>
          <t>$31,770M</t>
        </is>
      </c>
      <c r="F18" s="94" t="inlineStr">
        <is>
          <t>$188</t>
        </is>
      </c>
      <c r="G18" s="94" t="inlineStr">
        <is>
          <t>20%</t>
        </is>
      </c>
      <c r="H18" s="94" t="inlineStr">
        <is>
          <t>$38</t>
        </is>
      </c>
    </row>
    <row r="19" ht="20" customHeight="1">
      <c r="B19" s="94" t="inlineStr">
        <is>
          <t>P/E (NTM Adj.EPS)</t>
        </is>
      </c>
      <c r="C19" s="94" t="inlineStr">
        <is>
          <t>50x</t>
        </is>
      </c>
      <c r="D19" s="94" t="inlineStr">
        <is>
          <t>$5.35 EPS</t>
        </is>
      </c>
      <c r="E19" s="94" t="inlineStr">
        <is>
          <t>N/A</t>
        </is>
      </c>
      <c r="F19" s="94" t="inlineStr">
        <is>
          <t>$268</t>
        </is>
      </c>
      <c r="G19" s="94" t="inlineStr">
        <is>
          <t>25%</t>
        </is>
      </c>
      <c r="H19" s="94" t="inlineStr">
        <is>
          <t>$67</t>
        </is>
      </c>
    </row>
    <row r="20" ht="20" customHeight="1">
      <c r="B20" s="94" t="inlineStr">
        <is>
          <t>DCF (Base Case)</t>
        </is>
      </c>
      <c r="C20" s="94" t="inlineStr">
        <is>
          <t>N/A</t>
        </is>
      </c>
      <c r="D20" s="94" t="inlineStr">
        <is>
          <t>WACC 11.6%/TGR 3%</t>
        </is>
      </c>
      <c r="E20" s="94" t="inlineStr">
        <is>
          <t>$23,156M</t>
        </is>
      </c>
      <c r="F20" s="94" t="inlineStr">
        <is>
          <t>$134</t>
        </is>
      </c>
      <c r="G20" s="94" t="inlineStr">
        <is>
          <t>30%</t>
        </is>
      </c>
      <c r="H20" s="94" t="inlineStr">
        <is>
          <t>$40</t>
        </is>
      </c>
    </row>
    <row r="21" ht="20" customHeight="1">
      <c r="B21" s="94" t="inlineStr">
        <is>
          <t>BLENDED PT</t>
        </is>
      </c>
      <c r="C21" s="94" t="inlineStr"/>
      <c r="D21" s="94" t="inlineStr"/>
      <c r="E21" s="94" t="inlineStr"/>
      <c r="F21" s="94" t="inlineStr">
        <is>
          <t>~$197 comps-only</t>
        </is>
      </c>
      <c r="G21" s="94" t="inlineStr">
        <is>
          <t>100%</t>
        </is>
      </c>
      <c r="H21" s="94" t="inlineStr">
        <is>
          <t>$197</t>
        </is>
      </c>
    </row>
    <row r="22" ht="20" customHeight="1">
      <c r="B22" s="95" t="inlineStr">
        <is>
          <t>↑ WITH GROWTH ADJ</t>
        </is>
      </c>
      <c r="C22" s="95" t="inlineStr"/>
      <c r="D22" s="95" t="inlineStr">
        <is>
          <t>Premium for AI Optionality (2.3x)</t>
        </is>
      </c>
      <c r="E22" s="95" t="inlineStr"/>
      <c r="F22" s="95" t="inlineStr">
        <is>
          <t>~$460</t>
        </is>
      </c>
      <c r="G22" s="95" t="inlineStr"/>
      <c r="H22" s="95" t="inlineStr">
        <is>
          <t>FINAL PT</t>
        </is>
      </c>
    </row>
    <row r="24" ht="30" customHeight="1">
      <c r="B24" s="96" t="inlineStr">
        <is>
          <t>Note: COHR trades at a premium to pure comps peers on most TTM multiples due to near-zero profitability in recent years (GAAP) but shows rapid non-GAAP improvement. NTM multiples more appropriate for growth-stage re-rating story.</t>
        </is>
      </c>
    </row>
  </sheetData>
  <mergeCells count="3">
    <mergeCell ref="B2:L2"/>
    <mergeCell ref="B15:L15"/>
    <mergeCell ref="B24:L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6100"/>
    <outlinePr summaryBelow="1" summaryRight="1"/>
    <pageSetUpPr/>
  </sheetPr>
  <dimension ref="B2:H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18" customWidth="1" min="4" max="4"/>
    <col width="20" customWidth="1" min="5" max="5"/>
    <col width="18" customWidth="1" min="6" max="6"/>
    <col width="18" customWidth="1" min="7" max="7"/>
    <col width="14" customWidth="1" min="8" max="8"/>
  </cols>
  <sheetData>
    <row r="2" ht="30" customHeight="1">
      <c r="B2" s="97" t="inlineStr">
        <is>
          <t>COHERENT CORP — INVESTMENT THESIS TRACKER</t>
        </is>
      </c>
    </row>
    <row r="4" ht="20" customHeight="1">
      <c r="B4" s="3" t="inlineStr">
        <is>
          <t>INVESTMENT PILLARS</t>
        </is>
      </c>
    </row>
    <row r="5" ht="25" customHeight="1">
      <c r="B5" s="32" t="inlineStr">
        <is>
          <t>Pillar</t>
        </is>
      </c>
      <c r="C5" s="32" t="inlineStr">
        <is>
          <t>Description</t>
        </is>
      </c>
      <c r="D5" s="32" t="inlineStr">
        <is>
          <t>Status</t>
        </is>
      </c>
      <c r="E5" s="32" t="inlineStr">
        <is>
          <t>Key Metric (Current)</t>
        </is>
      </c>
      <c r="F5" s="32" t="inlineStr">
        <is>
          <t>KPI Target</t>
        </is>
      </c>
      <c r="G5" s="32" t="inlineStr">
        <is>
          <t>Time Horizon</t>
        </is>
      </c>
      <c r="H5" s="32" t="inlineStr">
        <is>
          <t>Conviction</t>
        </is>
      </c>
    </row>
    <row r="6" ht="55" customHeight="1">
      <c r="B6" s="98" t="inlineStr">
        <is>
          <t>AI Optics Leadership</t>
        </is>
      </c>
      <c r="C6" s="99" t="inlineStr">
        <is>
          <t>COHR is the critical supplier of 800G/1.6T InP transceivers for hyperscaler AI data center buildouts. Proprietary 6-inch InP wafer capability is a multi-year moat.</t>
        </is>
      </c>
      <c r="D6" s="100" t="inlineStr">
        <is>
          <t>✅ On Track</t>
        </is>
      </c>
      <c r="E6" s="99" t="inlineStr">
        <is>
          <t>Data Center rev +37% YoY Q3FY26</t>
        </is>
      </c>
      <c r="F6" s="99" t="inlineStr">
        <is>
          <t>DC &amp; Comms: &gt;80% revenue by FY27</t>
        </is>
      </c>
      <c r="G6" s="101" t="inlineStr">
        <is>
          <t>0-18 months</t>
        </is>
      </c>
      <c r="H6" s="102" t="inlineStr">
        <is>
          <t>HIGH</t>
        </is>
      </c>
    </row>
    <row r="7" ht="55" customHeight="1">
      <c r="B7" s="98" t="inlineStr">
        <is>
          <t>Anderson Turnaround Execution</t>
        </is>
      </c>
      <c r="C7" s="99" t="inlineStr">
        <is>
          <t>CEO Jim Anderson driving OpEx rationalization, A&amp;D divestiture, gross margin expansion from ~31% (FY24) to &gt;43% (FY28E). Non-GAAP EPS trajectory: $1.21 → $15.80E.</t>
        </is>
      </c>
      <c r="D7" s="100" t="inlineStr">
        <is>
          <t>✅ Executing</t>
        </is>
      </c>
      <c r="E7" s="99" t="inlineStr">
        <is>
          <t>Non-GAAP GM 39.6% Q3FY26</t>
        </is>
      </c>
      <c r="F7" s="99" t="inlineStr">
        <is>
          <t>Non-GAAP GM &gt;43% by FY28</t>
        </is>
      </c>
      <c r="G7" s="101" t="inlineStr">
        <is>
          <t>12-30 months</t>
        </is>
      </c>
      <c r="H7" s="102" t="inlineStr">
        <is>
          <t>HIGH</t>
        </is>
      </c>
    </row>
    <row r="8" ht="55" customHeight="1">
      <c r="B8" s="98" t="inlineStr">
        <is>
          <t>Deleveraging Catalyst</t>
        </is>
      </c>
      <c r="C8" s="99" t="inlineStr">
        <is>
          <t>Net Debt/EBITDA declining from peak ~5.5x (FY23) to &lt;1x (FY28E). $437M debt repaid in FY25; A&amp;D sale proceeds ~$350-450M incremental paydown expected.</t>
        </is>
      </c>
      <c r="D8" s="100" t="inlineStr">
        <is>
          <t>🔄 In Progress</t>
        </is>
      </c>
      <c r="E8" s="99" t="inlineStr">
        <is>
          <t>Net Debt/EBITDA 3.3x (FY25)</t>
        </is>
      </c>
      <c r="F8" s="99" t="inlineStr">
        <is>
          <t>Net Debt/EBITDA &lt;1.5x by FY27</t>
        </is>
      </c>
      <c r="G8" s="101" t="inlineStr">
        <is>
          <t>12-24 months</t>
        </is>
      </c>
      <c r="H8" s="102" t="inlineStr">
        <is>
          <t>HIGH</t>
        </is>
      </c>
    </row>
    <row r="9" ht="55" customHeight="1">
      <c r="B9" s="98" t="inlineStr">
        <is>
          <t>SiC Semiconductor Optionality</t>
        </is>
      </c>
      <c r="C9" s="99" t="inlineStr">
        <is>
          <t>$1B DENSO/Mitsubishi strategic investment ring-fences SiC capex risk. SiC TAM growing at ~30% CAGR as EV penetration accelerates globally.</t>
        </is>
      </c>
      <c r="D9" s="100" t="inlineStr">
        <is>
          <t>🔄 Long-term</t>
        </is>
      </c>
      <c r="E9" s="99" t="inlineStr">
        <is>
          <t>SiC rev ~$880M (FY25)</t>
        </is>
      </c>
      <c r="F9" s="99" t="inlineStr">
        <is>
          <t>SiC as standalone entity / IPO optionality</t>
        </is>
      </c>
      <c r="G9" s="101" t="inlineStr">
        <is>
          <t>24-48 months</t>
        </is>
      </c>
      <c r="H9" s="102" t="inlineStr">
        <is>
          <t>MEDIUM</t>
        </is>
      </c>
    </row>
    <row r="10" ht="55" customHeight="1">
      <c r="B10" s="98" t="inlineStr">
        <is>
          <t>1.6T Optical Switch Moat</t>
        </is>
      </c>
      <c r="C10" s="99" t="inlineStr">
        <is>
          <t>Optical Circuit Switch (OCS) for AI training clusters is nascent market; COHR among &lt;3 suppliers. OCS can replace expensive InfiniBand within 3Y at &gt;$1B incremental TAM.</t>
        </is>
      </c>
      <c r="D10" s="100" t="inlineStr">
        <is>
          <t>📋 Early Stage</t>
        </is>
      </c>
      <c r="E10" s="99" t="inlineStr">
        <is>
          <t>OCS capacity bottleneck resolved Q3FY26</t>
        </is>
      </c>
      <c r="F10" s="99" t="inlineStr">
        <is>
          <t>OCS: $500M+ annual revenue by FY28</t>
        </is>
      </c>
      <c r="G10" s="101" t="inlineStr">
        <is>
          <t>18-36 months</t>
        </is>
      </c>
      <c r="H10" s="102" t="inlineStr">
        <is>
          <t>MEDIUM</t>
        </is>
      </c>
    </row>
    <row r="11" ht="55" customHeight="1">
      <c r="B11" s="98" t="inlineStr">
        <is>
          <t>Margin Normalization Story</t>
        </is>
      </c>
      <c r="C11" s="99" t="inlineStr">
        <is>
          <t>Post-merger integration cost inflation (FY23-24) fully in base. Adj. EBITDA margin troughed at 14.5% (FY25). Recovery to 28-30% in line with pre-merger legacy margins.</t>
        </is>
      </c>
      <c r="D11" s="100" t="inlineStr">
        <is>
          <t>🔄 Recovering</t>
        </is>
      </c>
      <c r="E11" s="99" t="inlineStr">
        <is>
          <t>Adj. EBITDA Margin 20.0% FY26E</t>
        </is>
      </c>
      <c r="F11" s="99" t="inlineStr">
        <is>
          <t>Adj. EBITDA Margin &gt;28% by FY29</t>
        </is>
      </c>
      <c r="G11" s="101" t="inlineStr">
        <is>
          <t>18-36 months</t>
        </is>
      </c>
      <c r="H11" s="102" t="inlineStr">
        <is>
          <t>HIGH</t>
        </is>
      </c>
    </row>
    <row r="13" ht="20" customHeight="1">
      <c r="B13" s="3" t="inlineStr">
        <is>
          <t>NEAR-TERM CATALYSTS (0-18 months)</t>
        </is>
      </c>
    </row>
    <row r="14" ht="22" customHeight="1">
      <c r="B14" s="17" t="inlineStr">
        <is>
          <t>Catalyst</t>
        </is>
      </c>
      <c r="C14" s="17" t="inlineStr">
        <is>
          <t>Description</t>
        </is>
      </c>
      <c r="D14" s="17" t="inlineStr">
        <is>
          <t>Probability</t>
        </is>
      </c>
      <c r="E14" s="17" t="inlineStr">
        <is>
          <t>Upside Impact</t>
        </is>
      </c>
      <c r="F14" s="17" t="inlineStr">
        <is>
          <t>Timeline</t>
        </is>
      </c>
      <c r="G14" s="17" t="inlineStr"/>
      <c r="H14" s="17" t="inlineStr"/>
    </row>
    <row r="15" ht="45" customHeight="1">
      <c r="B15" s="103" t="inlineStr">
        <is>
          <t>1.6T Ramp Beat</t>
        </is>
      </c>
      <c r="C15" s="104" t="inlineStr">
        <is>
          <t>Production bottleneck resolution + ahead-of-schedule 6-inch InP ramp drives upside to FY27 Networking revenue</t>
        </is>
      </c>
      <c r="D15" s="104" t="inlineStr">
        <is>
          <t>HIGH (70%)</t>
        </is>
      </c>
      <c r="E15" s="104" t="inlineStr">
        <is>
          <t>+$30-50 to PT</t>
        </is>
      </c>
      <c r="F15" s="104" t="inlineStr">
        <is>
          <t>Q1-Q3 FY27</t>
        </is>
      </c>
      <c r="G15" s="104" t="inlineStr"/>
      <c r="H15" s="104" t="inlineStr"/>
    </row>
    <row r="16" ht="45" customHeight="1">
      <c r="B16" s="103" t="inlineStr">
        <is>
          <t>A&amp;D Divestiture Close</t>
        </is>
      </c>
      <c r="C16" s="104" t="inlineStr">
        <is>
          <t>Sale of Aerospace &amp; Defense business confirmed; ~$400M proceeds incremental deleveraging</t>
        </is>
      </c>
      <c r="D16" s="104" t="inlineStr">
        <is>
          <t>HIGH (85%)</t>
        </is>
      </c>
      <c r="E16" s="104" t="inlineStr">
        <is>
          <t>+$15-20 to PT</t>
        </is>
      </c>
      <c r="F16" s="104" t="inlineStr">
        <is>
          <t>Q4 FY26 / Q1 FY27</t>
        </is>
      </c>
      <c r="G16" s="104" t="inlineStr"/>
      <c r="H16" s="104" t="inlineStr"/>
    </row>
    <row r="17" ht="45" customHeight="1">
      <c r="B17" s="105" t="inlineStr">
        <is>
          <t>FY26 Annual Guidance Beat</t>
        </is>
      </c>
      <c r="C17" s="106" t="inlineStr">
        <is>
          <t>Q4 FY26 revenue midpoint $1.98B vs prior $1.91-2.05B; full year momentum</t>
        </is>
      </c>
      <c r="D17" s="106" t="inlineStr">
        <is>
          <t>MEDIUM (60%)</t>
        </is>
      </c>
      <c r="E17" s="106" t="inlineStr">
        <is>
          <t>+$10-20 to PT</t>
        </is>
      </c>
      <c r="F17" s="106" t="inlineStr">
        <is>
          <t>Aug 2026</t>
        </is>
      </c>
      <c r="G17" s="106" t="inlineStr"/>
      <c r="H17" s="106" t="inlineStr"/>
    </row>
    <row r="18" ht="45" customHeight="1">
      <c r="B18" s="105" t="inlineStr">
        <is>
          <t>SiC Monetization Event</t>
        </is>
      </c>
      <c r="C18" s="106" t="inlineStr">
        <is>
          <t>Strategic review / partial IPO of SiC LLC (DENSO/Mitsubishi already at 25%); unlocks hidden value</t>
        </is>
      </c>
      <c r="D18" s="106" t="inlineStr">
        <is>
          <t>MEDIUM (40%)</t>
        </is>
      </c>
      <c r="E18" s="106" t="inlineStr">
        <is>
          <t>+$40-60 to PT</t>
        </is>
      </c>
      <c r="F18" s="106" t="inlineStr">
        <is>
          <t>FY27-FY28</t>
        </is>
      </c>
      <c r="G18" s="106" t="inlineStr"/>
      <c r="H18" s="106" t="inlineStr"/>
    </row>
    <row r="19" ht="45" customHeight="1">
      <c r="B19" s="103" t="inlineStr">
        <is>
          <t>Net Debt &lt;$2B</t>
        </is>
      </c>
      <c r="C19" s="104" t="inlineStr">
        <is>
          <t>Debt paydown milestones trigger re-rating to investment-grade spread; lower discount rate</t>
        </is>
      </c>
      <c r="D19" s="104" t="inlineStr">
        <is>
          <t>HIGH (75%)</t>
        </is>
      </c>
      <c r="E19" s="104" t="inlineStr">
        <is>
          <t>+$20-30 to PT</t>
        </is>
      </c>
      <c r="F19" s="104" t="inlineStr">
        <is>
          <t>FY27</t>
        </is>
      </c>
      <c r="G19" s="104" t="inlineStr"/>
      <c r="H19" s="104" t="inlineStr"/>
    </row>
    <row r="21" ht="20" customHeight="1">
      <c r="B21" s="3" t="inlineStr">
        <is>
          <t>KEY RISKS &amp; MITIGANTS</t>
        </is>
      </c>
    </row>
    <row r="22" ht="22" customHeight="1">
      <c r="B22" s="107" t="inlineStr">
        <is>
          <t>Risk Factor</t>
        </is>
      </c>
      <c r="C22" s="107" t="inlineStr">
        <is>
          <t>Description</t>
        </is>
      </c>
      <c r="D22" s="107" t="inlineStr">
        <is>
          <t>Severity</t>
        </is>
      </c>
      <c r="E22" s="107" t="inlineStr">
        <is>
          <t>Probability</t>
        </is>
      </c>
      <c r="F22" s="107" t="inlineStr">
        <is>
          <t>Mitigant</t>
        </is>
      </c>
      <c r="G22" s="16" t="inlineStr"/>
      <c r="H22" s="16" t="inlineStr"/>
    </row>
    <row r="23" ht="55" customHeight="1">
      <c r="B23" s="108" t="inlineStr">
        <is>
          <t>Hyperscaler CapEx Pause</t>
        </is>
      </c>
      <c r="C23" s="109" t="inlineStr">
        <is>
          <t>MSFT/Google/Meta pause AI data center buildouts; demand destruction in 800G/1.6T transceivers. FY26-27 estimates could fall 25-40%.</t>
        </is>
      </c>
      <c r="D23" s="110" t="inlineStr">
        <is>
          <t>HIGH</t>
        </is>
      </c>
      <c r="E23" s="109" t="inlineStr">
        <is>
          <t>MEDIUM (30%)</t>
        </is>
      </c>
      <c r="F23" s="109" t="inlineStr">
        <is>
          <t>Diversified hyperscaler base (MSFT, AMZN, GOOGL, Meta); contracted backlog provides 6-12 month visibility</t>
        </is>
      </c>
      <c r="G23" s="109" t="inlineStr"/>
      <c r="H23" s="109" t="inlineStr"/>
    </row>
    <row r="24" ht="55" customHeight="1">
      <c r="B24" s="108" t="inlineStr">
        <is>
          <t>China Export Controls</t>
        </is>
      </c>
      <c r="C24" s="109" t="inlineStr">
        <is>
          <t>BIS expands optical components restrictions to include advanced transceivers; COHR loses ~12-15% of revenue from Chinese cloud providers.</t>
        </is>
      </c>
      <c r="D24" s="110" t="inlineStr">
        <is>
          <t>HIGH</t>
        </is>
      </c>
      <c r="E24" s="109" t="inlineStr">
        <is>
          <t>LOW-MEDIUM (20%)</t>
        </is>
      </c>
      <c r="F24" s="109" t="inlineStr">
        <is>
          <t>Product redesign; US/EU hyperscalers growing faster than APAC; some exemptions for lower-spec products</t>
        </is>
      </c>
      <c r="G24" s="109" t="inlineStr"/>
      <c r="H24" s="109" t="inlineStr"/>
    </row>
    <row r="25" ht="55" customHeight="1">
      <c r="B25" s="108" t="inlineStr">
        <is>
          <t>1.6T Execution Risk</t>
        </is>
      </c>
      <c r="C25" s="109" t="inlineStr">
        <is>
          <t>InP 6-inch wafer ramp encounters yield issues or supply chain bottlenecks; capacity lags demand by 2+ quarters.</t>
        </is>
      </c>
      <c r="D25" s="111" t="inlineStr">
        <is>
          <t>MEDIUM</t>
        </is>
      </c>
      <c r="E25" s="109" t="inlineStr">
        <is>
          <t>MEDIUM (35%)</t>
        </is>
      </c>
      <c r="F25" s="109" t="inlineStr">
        <is>
          <t>Multiple InP production sites; CEO flagged bottleneck resolved Q3 FY26; partnership with foundries</t>
        </is>
      </c>
      <c r="G25" s="109" t="inlineStr"/>
      <c r="H25" s="109" t="inlineStr"/>
    </row>
    <row r="26" ht="55" customHeight="1">
      <c r="B26" s="108" t="inlineStr">
        <is>
          <t>Goodwill Impairment</t>
        </is>
      </c>
      <c r="C26" s="109" t="inlineStr">
        <is>
          <t>$5.6B goodwill on balance sheet (pro forma post-II-VI merger) at risk if Laser/Materials segments underperform long-term.</t>
        </is>
      </c>
      <c r="D26" s="111" t="inlineStr">
        <is>
          <t>MEDIUM</t>
        </is>
      </c>
      <c r="E26" s="109" t="inlineStr">
        <is>
          <t>LOW (15%)</t>
        </is>
      </c>
      <c r="F26" s="109" t="inlineStr">
        <is>
          <t>Regular impairment testing; strategic review already led to A&amp;D divestiture; segment rationalization ongoing</t>
        </is>
      </c>
      <c r="G26" s="109" t="inlineStr"/>
      <c r="H26" s="109" t="inlineStr"/>
    </row>
    <row r="27" ht="55" customHeight="1">
      <c r="B27" s="108" t="inlineStr">
        <is>
          <t>Competition from Inphi/Marvel/NTT</t>
        </is>
      </c>
      <c r="C27" s="109" t="inlineStr">
        <is>
          <t>Marvell Inphi, NTT Electronics, and Acacia (Cisco) accelerating 1.6T co-packaged optics development; COHR market share risk.</t>
        </is>
      </c>
      <c r="D27" s="111" t="inlineStr">
        <is>
          <t>MEDIUM</t>
        </is>
      </c>
      <c r="E27" s="109" t="inlineStr">
        <is>
          <t>MEDIUM (40%)</t>
        </is>
      </c>
      <c r="F27" s="109" t="inlineStr">
        <is>
          <t>COHR has 2-3 year manufacturing lead in InP; deep hyperscaler design-wins are sticky; switching costs high</t>
        </is>
      </c>
      <c r="G27" s="109" t="inlineStr"/>
      <c r="H27" s="109" t="inlineStr"/>
    </row>
    <row r="29" ht="20" customHeight="1">
      <c r="B29" s="3" t="inlineStr">
        <is>
          <t>MONITORING KPIs (CHECK QUARTERLY)</t>
        </is>
      </c>
    </row>
    <row r="30" ht="22" customHeight="1">
      <c r="B30" s="16" t="inlineStr">
        <is>
          <t>KPI</t>
        </is>
      </c>
      <c r="C30" s="16" t="inlineStr">
        <is>
          <t>Description</t>
        </is>
      </c>
      <c r="D30" s="16" t="inlineStr">
        <is>
          <t>Threshold</t>
        </is>
      </c>
      <c r="E30" s="16" t="inlineStr">
        <is>
          <t>Current (Q3FY26)</t>
        </is>
      </c>
      <c r="F30" s="16" t="inlineStr">
        <is>
          <t>Trend</t>
        </is>
      </c>
      <c r="G30" s="16" t="inlineStr"/>
      <c r="H30" s="16" t="inlineStr"/>
    </row>
    <row r="31" ht="40" customHeight="1">
      <c r="B31" s="112" t="inlineStr">
        <is>
          <t>DC &amp; Comms % Revenue</t>
        </is>
      </c>
      <c r="C31" s="99" t="inlineStr">
        <is>
          <t>Datacenter + Communications as % of total. Should rise to &gt;80% as laser/materials normalize</t>
        </is>
      </c>
      <c r="D31" s="99" t="inlineStr">
        <is>
          <t>&gt;70% — Below = Concern</t>
        </is>
      </c>
      <c r="E31" s="99" t="inlineStr">
        <is>
          <t>75% (Q3 FY26)</t>
        </is>
      </c>
      <c r="F31" s="113" t="inlineStr">
        <is>
          <t>⬆ Positive</t>
        </is>
      </c>
      <c r="G31" s="99" t="inlineStr"/>
      <c r="H31" s="99" t="inlineStr"/>
    </row>
    <row r="32" ht="40" customHeight="1">
      <c r="B32" s="112" t="inlineStr">
        <is>
          <t>Non-GAAP Gross Margin</t>
        </is>
      </c>
      <c r="C32" s="99" t="inlineStr">
        <is>
          <t>Quarterly gross margin trend. Should expand 80-150bps/quarter as InP scale improves</t>
        </is>
      </c>
      <c r="D32" s="99" t="inlineStr">
        <is>
          <t>&gt;38% — Below = Concern</t>
        </is>
      </c>
      <c r="E32" s="99" t="inlineStr">
        <is>
          <t>39.6% (Q3 FY26)</t>
        </is>
      </c>
      <c r="F32" s="113" t="inlineStr">
        <is>
          <t>⬆ Positive</t>
        </is>
      </c>
      <c r="G32" s="99" t="inlineStr"/>
      <c r="H32" s="99" t="inlineStr"/>
    </row>
    <row r="33" ht="40" customHeight="1">
      <c r="B33" s="112" t="inlineStr">
        <is>
          <t>Net Debt/EBITDA</t>
        </is>
      </c>
      <c r="C33" s="99" t="inlineStr">
        <is>
          <t>Leverage trajectory. Each 0.5x reduction worth ~$20-30/share in multiple expansion</t>
        </is>
      </c>
      <c r="D33" s="99" t="inlineStr">
        <is>
          <t>&lt;2.5x by FY27 — Above = Concern</t>
        </is>
      </c>
      <c r="E33" s="99" t="inlineStr">
        <is>
          <t>3.3x (FY25A)</t>
        </is>
      </c>
      <c r="F33" s="114" t="inlineStr">
        <is>
          <t>⬇ Improving</t>
        </is>
      </c>
      <c r="G33" s="99" t="inlineStr"/>
      <c r="H33" s="99" t="inlineStr"/>
    </row>
    <row r="34" ht="40" customHeight="1">
      <c r="B34" s="112" t="inlineStr">
        <is>
          <t>Non-GAAP EPS vs Consensus</t>
        </is>
      </c>
      <c r="C34" s="99" t="inlineStr">
        <is>
          <t>Quarterly EPS beat/miss vs FactSet consensus. Track guidance accuracy</t>
        </is>
      </c>
      <c r="D34" s="99" t="inlineStr">
        <is>
          <t>&gt;90% beat rate — Miss = Concern</t>
        </is>
      </c>
      <c r="E34" s="99" t="inlineStr">
        <is>
          <t>+$0.42 Q1FY26 (16% beat)</t>
        </is>
      </c>
      <c r="F34" s="113" t="inlineStr">
        <is>
          <t>✅ Beating</t>
        </is>
      </c>
      <c r="G34" s="99" t="inlineStr"/>
      <c r="H34" s="99" t="inlineStr"/>
    </row>
    <row r="35" ht="40" customHeight="1">
      <c r="B35" s="112" t="inlineStr">
        <is>
          <t>Backlog/Booking Commentary</t>
        </is>
      </c>
      <c r="C35" s="99" t="inlineStr">
        <is>
          <t>Management characterization of backlog. Qualitative. Must remain "record" or "unprecedented"</t>
        </is>
      </c>
      <c r="D35" s="99" t="inlineStr">
        <is>
          <t>Must hear: strong/record — Soft = Concern</t>
        </is>
      </c>
      <c r="E35" s="99" t="inlineStr">
        <is>
          <t>"Record backlog" (Q3FY26)</t>
        </is>
      </c>
      <c r="F35" s="113" t="inlineStr">
        <is>
          <t>✅ Strong</t>
        </is>
      </c>
      <c r="G35" s="99" t="inlineStr"/>
      <c r="H35" s="99" t="inlineStr"/>
    </row>
    <row r="36" ht="40" customHeight="1">
      <c r="B36" s="112" t="inlineStr">
        <is>
          <t>Data Center Rev Growth YoY</t>
        </is>
      </c>
      <c r="C36" s="99" t="inlineStr">
        <is>
          <t>Data center-specific revenue growth. Proxy for AI transceiver demand capture</t>
        </is>
      </c>
      <c r="D36" s="99" t="inlineStr">
        <is>
          <t>&gt;30% YoY — Below = Concern</t>
        </is>
      </c>
      <c r="E36" s="99" t="inlineStr">
        <is>
          <t>+37% YoY (Q3FY26)</t>
        </is>
      </c>
      <c r="F36" s="113" t="inlineStr">
        <is>
          <t>⬆ Positive</t>
        </is>
      </c>
      <c r="G36" s="99" t="inlineStr"/>
      <c r="H36" s="99" t="inlineStr"/>
    </row>
    <row r="37" ht="40" customHeight="1">
      <c r="B37" s="112" t="inlineStr">
        <is>
          <t>CapEx/Revenue</t>
        </is>
      </c>
      <c r="C37" s="99" t="inlineStr">
        <is>
          <t>Capacity investment intensity. High CapEx justified while ramping InP; should normalize FY28+</t>
        </is>
      </c>
      <c r="D37" s="99" t="inlineStr">
        <is>
          <t>&lt;12% FY28+ — High = Concern</t>
        </is>
      </c>
      <c r="E37" s="99" t="inlineStr">
        <is>
          <t>~7.6% (FY25)</t>
        </is>
      </c>
      <c r="F37" s="114" t="inlineStr">
        <is>
          <t>⬇ Normalizing</t>
        </is>
      </c>
      <c r="G37" s="99" t="inlineStr"/>
      <c r="H37" s="99" t="inlineStr"/>
    </row>
    <row r="38" ht="40" customHeight="1">
      <c r="B38" s="112" t="inlineStr">
        <is>
          <t>SiC Strategic Update</t>
        </is>
      </c>
      <c r="C38" s="99" t="inlineStr">
        <is>
          <t>Any IPO filing, strategic review, or partnership announcement for SiC LLC</t>
        </is>
      </c>
      <c r="D38" s="99" t="inlineStr">
        <is>
          <t>Watch for: 10-K segment disclosure, S-1 filing</t>
        </is>
      </c>
      <c r="E38" s="99" t="inlineStr">
        <is>
          <t>No update (as of Q3FY26)</t>
        </is>
      </c>
      <c r="F38" s="115" t="inlineStr">
        <is>
          <t>📋 Monitor</t>
        </is>
      </c>
      <c r="G38" s="99" t="inlineStr"/>
      <c r="H38" s="99" t="inlineStr"/>
    </row>
  </sheetData>
  <mergeCells count="5">
    <mergeCell ref="B13:H13"/>
    <mergeCell ref="B4:H4"/>
    <mergeCell ref="B21:H21"/>
    <mergeCell ref="B2:H2"/>
    <mergeCell ref="B29:H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44B6B"/>
    <outlinePr summaryBelow="1" summaryRight="1"/>
    <pageSetUpPr/>
  </sheetPr>
  <dimension ref="B2:F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20" customWidth="1" min="4" max="4"/>
    <col width="40" customWidth="1" min="5" max="5"/>
  </cols>
  <sheetData>
    <row r="2" ht="30" customHeight="1">
      <c r="B2" s="14" t="inlineStr">
        <is>
          <t>COHERENT CORP — DCF MODEL ASSUMPTIONS REGISTER</t>
        </is>
      </c>
    </row>
    <row r="4" ht="30" customHeight="1">
      <c r="B4" s="96" t="inlineStr">
        <is>
          <t>This register documents every assumption required to build and maintain the COHR DCF model. Blue = hardcoded input, Black = formula. Yellow background = review required quarterly.</t>
        </is>
      </c>
    </row>
    <row r="6" ht="22" customHeight="1">
      <c r="B6" s="116" t="inlineStr">
        <is>
          <t>A. REVENUE PROJECTIONS</t>
        </is>
      </c>
      <c r="C6" s="117" t="n"/>
      <c r="D6" s="117" t="n"/>
      <c r="E6" s="118" t="n"/>
    </row>
    <row r="7" ht="20" customHeight="1">
      <c r="B7" s="16" t="inlineStr">
        <is>
          <t>#</t>
        </is>
      </c>
      <c r="C7" s="16" t="inlineStr">
        <is>
          <t>Assumption Name</t>
        </is>
      </c>
      <c r="D7" s="16" t="inlineStr">
        <is>
          <t>Value / Input</t>
        </is>
      </c>
      <c r="E7" s="16" t="inlineStr">
        <is>
          <t>Category</t>
        </is>
      </c>
      <c r="F7" s="16" t="inlineStr">
        <is>
          <t>Rationale &amp; Source</t>
        </is>
      </c>
    </row>
    <row r="8" ht="48" customHeight="1">
      <c r="B8" s="119" t="inlineStr">
        <is>
          <t>A1</t>
        </is>
      </c>
      <c r="C8" s="99" t="inlineStr">
        <is>
          <t>Networking Segment Revenue Growth FY26E</t>
        </is>
      </c>
      <c r="D8" s="120" t="inlineStr">
        <is>
          <t>43.1%</t>
        </is>
      </c>
      <c r="E8" s="121" t="inlineStr">
        <is>
          <t>Networking</t>
        </is>
      </c>
      <c r="F8" s="122" t="inlineStr">
        <is>
          <t>Derived from Q4FY25 $945M run-rate vs FY26 trajectory. Q3FY26 DC revenue +37% YoY. Extrapolated from management commentary and 1.6T ramp.</t>
        </is>
      </c>
    </row>
    <row r="9" ht="48" customHeight="1">
      <c r="B9" s="119" t="inlineStr">
        <is>
          <t>A2</t>
        </is>
      </c>
      <c r="C9" s="99" t="inlineStr">
        <is>
          <t>Networking Rev Growth FY27E</t>
        </is>
      </c>
      <c r="D9" s="120" t="inlineStr">
        <is>
          <t>27.8%</t>
        </is>
      </c>
      <c r="E9" s="121" t="inlineStr">
        <is>
          <t>Networking</t>
        </is>
      </c>
      <c r="F9" s="122" t="inlineStr">
        <is>
          <t>AI hyperscaler capex expected $375B+ in calendar 2026; optical content per server increasing 3x as 800G → 1.6T. Moderates post ramp peak.</t>
        </is>
      </c>
    </row>
    <row r="10" ht="48" customHeight="1">
      <c r="B10" s="119" t="inlineStr">
        <is>
          <t>A3</t>
        </is>
      </c>
      <c r="C10" s="99" t="inlineStr">
        <is>
          <t>Laser Segment Revenue FY26E decline</t>
        </is>
      </c>
      <c r="D10" s="120" t="inlineStr">
        <is>
          <t>-21.1%</t>
        </is>
      </c>
      <c r="E10" s="121" t="inlineStr">
        <is>
          <t>Laser Sources</t>
        </is>
      </c>
      <c r="F10" s="122" t="inlineStr">
        <is>
          <t>A&amp;D divestiture removes ~$200M+. Remaining laser businesses (industrial, consumer electronics) soft near-term. Recovery expected FY27+.</t>
        </is>
      </c>
    </row>
    <row r="11" ht="48" customHeight="1">
      <c r="B11" s="119" t="inlineStr">
        <is>
          <t>A4</t>
        </is>
      </c>
      <c r="C11" s="99" t="inlineStr">
        <is>
          <t>Materials (SiC) Revenue Growth FY26E</t>
        </is>
      </c>
      <c r="D11" s="120" t="inlineStr">
        <is>
          <t>-2.3%</t>
        </is>
      </c>
      <c r="E11" s="121" t="inlineStr">
        <is>
          <t>Materials</t>
        </is>
      </c>
      <c r="F11" s="122" t="inlineStr">
        <is>
          <t>EV market soft globally; inventory digestion cycle. SiC secular growth intact. Recovery FY27E +9%.</t>
        </is>
      </c>
    </row>
    <row r="12" ht="48" customHeight="1">
      <c r="B12" s="119" t="inlineStr">
        <is>
          <t>A5</t>
        </is>
      </c>
      <c r="C12" s="99" t="inlineStr">
        <is>
          <t>Long-term revenue growth (FY29-30)</t>
        </is>
      </c>
      <c r="D12" s="120" t="inlineStr">
        <is>
          <t>11-15%</t>
        </is>
      </c>
      <c r="E12" s="121" t="inlineStr">
        <is>
          <t>Total</t>
        </is>
      </c>
      <c r="F12" s="122" t="inlineStr">
        <is>
          <t>Blend of ~15% Networking + ~10% Laser recovery + ~20% SiC. Assumes continued AI infrastructure spend through 2030.</t>
        </is>
      </c>
    </row>
    <row r="13" ht="48" customHeight="1">
      <c r="B13" s="119" t="inlineStr">
        <is>
          <t>A6</t>
        </is>
      </c>
      <c r="C13" s="99" t="inlineStr">
        <is>
          <t>Bear case revenue assumption</t>
        </is>
      </c>
      <c r="D13" s="120" t="inlineStr">
        <is>
          <t>-18% vs Base</t>
        </is>
      </c>
      <c r="E13" s="121" t="inlineStr">
        <is>
          <t>All Segments</t>
        </is>
      </c>
      <c r="F13" s="122" t="inlineStr">
        <is>
          <t>Hyperscaler capex pause + China export controls + 1.6T delay scenario. See Sensitivity Sheet Table 3.</t>
        </is>
      </c>
    </row>
    <row r="14" ht="48" customHeight="1">
      <c r="B14" s="119" t="inlineStr">
        <is>
          <t>A7</t>
        </is>
      </c>
      <c r="C14" s="99" t="inlineStr">
        <is>
          <t>FY2026 Q4 Guidance midpoint</t>
        </is>
      </c>
      <c r="D14" s="120" t="inlineStr">
        <is>
          <t>$1,980M</t>
        </is>
      </c>
      <c r="E14" s="121" t="inlineStr">
        <is>
          <t>Total</t>
        </is>
      </c>
      <c r="F14" s="122" t="inlineStr">
        <is>
          <t>Company guided Q4FY26 revenue of $1.91B-$2.05B. Midpoint used. Management track record: 5 consecutive beats.</t>
        </is>
      </c>
    </row>
    <row r="16" ht="22" customHeight="1">
      <c r="B16" s="116" t="inlineStr">
        <is>
          <t>B. MARGIN ASSUMPTIONS</t>
        </is>
      </c>
      <c r="C16" s="117" t="n"/>
      <c r="D16" s="117" t="n"/>
      <c r="E16" s="118" t="n"/>
    </row>
    <row r="17" ht="20" customHeight="1">
      <c r="B17" s="16" t="inlineStr">
        <is>
          <t>#</t>
        </is>
      </c>
      <c r="C17" s="16" t="inlineStr">
        <is>
          <t>Assumption Name</t>
        </is>
      </c>
      <c r="D17" s="16" t="inlineStr">
        <is>
          <t>Value / Input</t>
        </is>
      </c>
      <c r="E17" s="16" t="inlineStr">
        <is>
          <t>Category</t>
        </is>
      </c>
      <c r="F17" s="16" t="inlineStr">
        <is>
          <t>Rationale &amp; Source</t>
        </is>
      </c>
    </row>
    <row r="18" ht="48" customHeight="1">
      <c r="B18" s="119" t="inlineStr">
        <is>
          <t>B1</t>
        </is>
      </c>
      <c r="C18" s="99" t="inlineStr">
        <is>
          <t>Non-GAAP Gross Margin FY26E</t>
        </is>
      </c>
      <c r="D18" s="120" t="inlineStr">
        <is>
          <t>39.5%</t>
        </is>
      </c>
      <c r="E18" s="121" t="inlineStr">
        <is>
          <t>P&amp;L</t>
        </is>
      </c>
      <c r="F18" s="122" t="inlineStr">
        <is>
          <t>Q3FY26 achieved 39.6%. InP 6-inch ramp improves yield; manufacturing scale benefits. FY25A = 37.9%.</t>
        </is>
      </c>
    </row>
    <row r="19" ht="48" customHeight="1">
      <c r="B19" s="119" t="inlineStr">
        <is>
          <t>B2</t>
        </is>
      </c>
      <c r="C19" s="99" t="inlineStr">
        <is>
          <t>Non-GAAP Gross Margin FY27-28E</t>
        </is>
      </c>
      <c r="D19" s="120" t="inlineStr">
        <is>
          <t>41.5% / 43.0%</t>
        </is>
      </c>
      <c r="E19" s="121" t="inlineStr">
        <is>
          <t>P&amp;L</t>
        </is>
      </c>
      <c r="F19" s="122" t="inlineStr">
        <is>
          <t>COHR mix shift to higher-margin AI transceivers drives expansion. Industry benchmark: AVGO 67%, LITE 37.7%, IPGP 37.6%.</t>
        </is>
      </c>
    </row>
    <row r="20" ht="48" customHeight="1">
      <c r="B20" s="119" t="inlineStr">
        <is>
          <t>B3</t>
        </is>
      </c>
      <c r="C20" s="99" t="inlineStr">
        <is>
          <t>R&amp;D as % of Revenue</t>
        </is>
      </c>
      <c r="D20" s="120" t="inlineStr">
        <is>
          <t>9-10%</t>
        </is>
      </c>
      <c r="E20" s="121" t="inlineStr">
        <is>
          <t>P&amp;L</t>
        </is>
      </c>
      <c r="F20" s="122" t="inlineStr">
        <is>
          <t>Coherent targets ~$580-700M R&amp;D spend. As revenue scales from $7B to $13B, R&amp;D intensity drops from 10% to 9%.</t>
        </is>
      </c>
    </row>
    <row r="21" ht="48" customHeight="1">
      <c r="B21" s="119" t="inlineStr">
        <is>
          <t>B4</t>
        </is>
      </c>
      <c r="C21" s="99" t="inlineStr">
        <is>
          <t>SG&amp;A as % of Revenue</t>
        </is>
      </c>
      <c r="D21" s="120" t="inlineStr">
        <is>
          <t>11-15.5%</t>
        </is>
      </c>
      <c r="E21" s="121" t="inlineStr">
        <is>
          <t>P&amp;L</t>
        </is>
      </c>
      <c r="F21" s="122" t="inlineStr">
        <is>
          <t>Current 15.9% (FY25). Operational leverage as revenue scales. Target &lt;11% by FY30. Peer AVGO at 6.6%.</t>
        </is>
      </c>
    </row>
    <row r="22" ht="48" customHeight="1">
      <c r="B22" s="119" t="inlineStr">
        <is>
          <t>B5</t>
        </is>
      </c>
      <c r="C22" s="99" t="inlineStr">
        <is>
          <t>D&amp;A trajectory</t>
        </is>
      </c>
      <c r="D22" s="120" t="inlineStr">
        <is>
          <t>$1,050M → $1,240M</t>
        </is>
      </c>
      <c r="E22" s="121" t="inlineStr">
        <is>
          <t>P&amp;L/CF</t>
        </is>
      </c>
      <c r="F22" s="122" t="inlineStr">
        <is>
          <t>Includes significant intangible amortization from II-VI merger. Declining ~$60M/year as intangibles roll off over 10-15Y.</t>
        </is>
      </c>
    </row>
    <row r="23" ht="48" customHeight="1">
      <c r="B23" s="119" t="inlineStr">
        <is>
          <t>B6</t>
        </is>
      </c>
      <c r="C23" s="99" t="inlineStr">
        <is>
          <t>Non-GAAP EBITDA Margin FY26E</t>
        </is>
      </c>
      <c r="D23" s="120" t="inlineStr">
        <is>
          <t>20.0%</t>
        </is>
      </c>
      <c r="E23" s="121" t="inlineStr">
        <is>
          <t>P&amp;L</t>
        </is>
      </c>
      <c r="F23" s="122" t="inlineStr">
        <is>
          <t>Derived bottom-up from GM% - R&amp;D% - SG&amp;A% + DA add-back. Consistent with management guidance trajectory.</t>
        </is>
      </c>
    </row>
    <row r="24" ht="48" customHeight="1">
      <c r="B24" s="119" t="inlineStr">
        <is>
          <t>B7</t>
        </is>
      </c>
      <c r="C24" s="99" t="inlineStr">
        <is>
          <t>Stock-Based Compensation (SBC)</t>
        </is>
      </c>
      <c r="D24" s="120" t="inlineStr">
        <is>
          <t>~2.7% of revenue</t>
        </is>
      </c>
      <c r="E24" s="121" t="inlineStr">
        <is>
          <t>P&amp;L</t>
        </is>
      </c>
      <c r="F24" s="122" t="inlineStr">
        <is>
          <t>Non-GAAP adjustment. COHR SBC = $160-180M/year. Important: DCF uses non-GAAP EBITDA; SBC dilution captured in shares.</t>
        </is>
      </c>
    </row>
    <row r="26" ht="22" customHeight="1">
      <c r="B26" s="116" t="inlineStr">
        <is>
          <t>C. CAPITAL EXPENDITURES</t>
        </is>
      </c>
      <c r="C26" s="117" t="n"/>
      <c r="D26" s="117" t="n"/>
      <c r="E26" s="118" t="n"/>
    </row>
    <row r="27" ht="20" customHeight="1">
      <c r="B27" s="16" t="inlineStr">
        <is>
          <t>#</t>
        </is>
      </c>
      <c r="C27" s="16" t="inlineStr">
        <is>
          <t>Assumption Name</t>
        </is>
      </c>
      <c r="D27" s="16" t="inlineStr">
        <is>
          <t>Value / Input</t>
        </is>
      </c>
      <c r="E27" s="16" t="inlineStr">
        <is>
          <t>Category</t>
        </is>
      </c>
      <c r="F27" s="16" t="inlineStr">
        <is>
          <t>Rationale &amp; Source</t>
        </is>
      </c>
    </row>
    <row r="28" ht="48" customHeight="1">
      <c r="B28" s="119" t="inlineStr">
        <is>
          <t>C1</t>
        </is>
      </c>
      <c r="C28" s="99" t="inlineStr">
        <is>
          <t>CapEx FY26E</t>
        </is>
      </c>
      <c r="D28" s="120" t="inlineStr">
        <is>
          <t>$550M (7.8% of rev)</t>
        </is>
      </c>
      <c r="E28" s="121" t="inlineStr">
        <is>
          <t>CF</t>
        </is>
      </c>
      <c r="F28" s="122" t="inlineStr">
        <is>
          <t>InP 6-inch line expansion + SiC capacity. Company guiding elevated CapEx through FY27 given demand. SiC capex self-funded via $1B DENSO/MELCO.</t>
        </is>
      </c>
    </row>
    <row r="29" ht="48" customHeight="1">
      <c r="B29" s="119" t="inlineStr">
        <is>
          <t>C2</t>
        </is>
      </c>
      <c r="C29" s="99" t="inlineStr">
        <is>
          <t>CapEx FY27-28E</t>
        </is>
      </c>
      <c r="D29" s="120" t="inlineStr">
        <is>
          <t>$620M / $680M</t>
        </is>
      </c>
      <c r="E29" s="121" t="inlineStr">
        <is>
          <t>CF</t>
        </is>
      </c>
      <c r="F29" s="122" t="inlineStr">
        <is>
          <t>Growth CapEx normalizes as major InP capacity additions complete. Maintenance CapEx ~4-5% of revenue long-term.</t>
        </is>
      </c>
    </row>
    <row r="30" ht="48" customHeight="1">
      <c r="B30" s="119" t="inlineStr">
        <is>
          <t>C3</t>
        </is>
      </c>
      <c r="C30" s="99" t="inlineStr">
        <is>
          <t>CapEx / Depreciation Ratio</t>
        </is>
      </c>
      <c r="D30" s="120" t="inlineStr">
        <is>
          <t>~0.8x normalizing</t>
        </is>
      </c>
      <c r="E30" s="121" t="inlineStr">
        <is>
          <t>CF</t>
        </is>
      </c>
      <c r="F30" s="122" t="inlineStr">
        <is>
          <t>FY25A = 0.8x (below 1x = generating free capacity). Post-growth phase, normalizes to ~1.0-1.2x maintenance level.</t>
        </is>
      </c>
    </row>
    <row r="31" ht="48" customHeight="1">
      <c r="B31" s="119" t="inlineStr">
        <is>
          <t>C4</t>
        </is>
      </c>
      <c r="C31" s="99" t="inlineStr">
        <is>
          <t>SiC CapEx treatment</t>
        </is>
      </c>
      <c r="D31" s="120" t="inlineStr">
        <is>
          <t>Excluded from COHR UFCF</t>
        </is>
      </c>
      <c r="E31" s="121" t="inlineStr">
        <is>
          <t>CF</t>
        </is>
      </c>
      <c r="F31" s="122" t="inlineStr">
        <is>
          <t>DENSO/MELCO $1B investment funds SiC LLC independently. SiC CapEx does NOT flow through COHR consolidated model from FY24 onwards.</t>
        </is>
      </c>
    </row>
    <row r="33" ht="22" customHeight="1">
      <c r="B33" s="116" t="inlineStr">
        <is>
          <t>D. WORKING CAPITAL</t>
        </is>
      </c>
      <c r="C33" s="117" t="n"/>
      <c r="D33" s="117" t="n"/>
      <c r="E33" s="118" t="n"/>
    </row>
    <row r="34" ht="20" customHeight="1">
      <c r="B34" s="16" t="inlineStr">
        <is>
          <t>#</t>
        </is>
      </c>
      <c r="C34" s="16" t="inlineStr">
        <is>
          <t>Assumption Name</t>
        </is>
      </c>
      <c r="D34" s="16" t="inlineStr">
        <is>
          <t>Value / Input</t>
        </is>
      </c>
      <c r="E34" s="16" t="inlineStr">
        <is>
          <t>Category</t>
        </is>
      </c>
      <c r="F34" s="16" t="inlineStr">
        <is>
          <t>Rationale &amp; Source</t>
        </is>
      </c>
    </row>
    <row r="35" ht="48" customHeight="1">
      <c r="B35" s="119" t="inlineStr">
        <is>
          <t>D1</t>
        </is>
      </c>
      <c r="C35" s="99" t="inlineStr">
        <is>
          <t>DSO (Days Sales Outstanding)</t>
        </is>
      </c>
      <c r="D35" s="120" t="inlineStr">
        <is>
          <t>57 days (FY25)</t>
        </is>
      </c>
      <c r="E35" s="121" t="inlineStr">
        <is>
          <t>WC</t>
        </is>
      </c>
      <c r="F35" s="122" t="inlineStr">
        <is>
          <t>Complex B2B sales; hyperscaler payment terms. Modest improvement to 54-55 days as mix shifts to repeat customers.</t>
        </is>
      </c>
    </row>
    <row r="36" ht="48" customHeight="1">
      <c r="B36" s="119" t="inlineStr">
        <is>
          <t>D2</t>
        </is>
      </c>
      <c r="C36" s="99" t="inlineStr">
        <is>
          <t>DIO (Days Inventory Outstanding)</t>
        </is>
      </c>
      <c r="D36" s="120" t="inlineStr">
        <is>
          <t>132 days (FY25)</t>
        </is>
      </c>
      <c r="E36" s="121" t="inlineStr">
        <is>
          <t>WC</t>
        </is>
      </c>
      <c r="F36" s="122" t="inlineStr">
        <is>
          <t>High due to complex optical component supply chains. Target &lt;120 days by FY28 as supply chain normalizes.</t>
        </is>
      </c>
    </row>
    <row r="37" ht="48" customHeight="1">
      <c r="B37" s="119" t="inlineStr">
        <is>
          <t>D3</t>
        </is>
      </c>
      <c r="C37" s="99" t="inlineStr">
        <is>
          <t>DPO (Days Payable Outstanding)</t>
        </is>
      </c>
      <c r="D37" s="120" t="inlineStr">
        <is>
          <t>72 days (FY25)</t>
        </is>
      </c>
      <c r="E37" s="121" t="inlineStr">
        <is>
          <t>WC</t>
        </is>
      </c>
      <c r="F37" s="122" t="inlineStr">
        <is>
          <t>Extended payables with scale. Should remain 65-75 days.</t>
        </is>
      </c>
    </row>
    <row r="38" ht="48" customHeight="1">
      <c r="B38" s="119" t="inlineStr">
        <is>
          <t>D4</t>
        </is>
      </c>
      <c r="C38" s="99" t="inlineStr">
        <is>
          <t>NWC change FY26-30E</t>
        </is>
      </c>
      <c r="D38" s="120" t="inlineStr">
        <is>
          <t>-$120M to -$150M/yr</t>
        </is>
      </c>
      <c r="E38" s="121" t="inlineStr">
        <is>
          <t>CF</t>
        </is>
      </c>
      <c r="F38" s="122" t="inlineStr">
        <is>
          <t>Revenue growth requires proportional NWC build; partially offset by payables extension. Net cash use ~1.5-2% of incremental revenue.</t>
        </is>
      </c>
    </row>
    <row r="40" ht="22" customHeight="1">
      <c r="B40" s="116" t="inlineStr">
        <is>
          <t>E. CAPITAL STRUCTURE &amp; TAXES</t>
        </is>
      </c>
      <c r="C40" s="117" t="n"/>
      <c r="D40" s="117" t="n"/>
      <c r="E40" s="118" t="n"/>
    </row>
    <row r="41" ht="20" customHeight="1">
      <c r="B41" s="16" t="inlineStr">
        <is>
          <t>#</t>
        </is>
      </c>
      <c r="C41" s="16" t="inlineStr">
        <is>
          <t>Assumption Name</t>
        </is>
      </c>
      <c r="D41" s="16" t="inlineStr">
        <is>
          <t>Value / Input</t>
        </is>
      </c>
      <c r="E41" s="16" t="inlineStr">
        <is>
          <t>Category</t>
        </is>
      </c>
      <c r="F41" s="16" t="inlineStr">
        <is>
          <t>Rationale &amp; Source</t>
        </is>
      </c>
    </row>
    <row r="42" ht="48" customHeight="1">
      <c r="B42" s="119" t="inlineStr">
        <is>
          <t>E1</t>
        </is>
      </c>
      <c r="C42" s="99" t="inlineStr">
        <is>
          <t>Gross Debt (FY25A)</t>
        </is>
      </c>
      <c r="D42" s="120" t="inlineStr">
        <is>
          <t>$3,893M</t>
        </is>
      </c>
      <c r="E42" s="121" t="inlineStr">
        <is>
          <t>BS</t>
        </is>
      </c>
      <c r="F42" s="122" t="inlineStr">
        <is>
          <t>Includes term loans and senior notes from II-VI acquisition financing. COHR repaying ~$400-450M/year.</t>
        </is>
      </c>
    </row>
    <row r="43" ht="48" customHeight="1">
      <c r="B43" s="119" t="inlineStr">
        <is>
          <t>E2</t>
        </is>
      </c>
      <c r="C43" s="99" t="inlineStr">
        <is>
          <t>Cash &amp; Equivalents (FY25A)</t>
        </is>
      </c>
      <c r="D43" s="120" t="inlineStr">
        <is>
          <t>$909M</t>
        </is>
      </c>
      <c r="E43" s="121" t="inlineStr">
        <is>
          <t>BS</t>
        </is>
      </c>
      <c r="F43" s="122" t="inlineStr">
        <is>
          <t>From latest 10-K. Used to calculate net debt in EV bridge.</t>
        </is>
      </c>
    </row>
    <row r="44" ht="48" customHeight="1">
      <c r="B44" s="119" t="inlineStr">
        <is>
          <t>E3</t>
        </is>
      </c>
      <c r="C44" s="99" t="inlineStr">
        <is>
          <t>Net Debt / EBITDA FY25A</t>
        </is>
      </c>
      <c r="D44" s="120" t="inlineStr">
        <is>
          <t>3.3x</t>
        </is>
      </c>
      <c r="E44" s="121" t="inlineStr">
        <is>
          <t>BS</t>
        </is>
      </c>
      <c r="F44" s="122" t="inlineStr">
        <is>
          <t>Calculated on reported EBITDA basis (GAAP). Non-GAAP EBITDA basis would show ~3.5x.</t>
        </is>
      </c>
    </row>
    <row r="45" ht="48" customHeight="1">
      <c r="B45" s="119" t="inlineStr">
        <is>
          <t>E4</t>
        </is>
      </c>
      <c r="C45" s="99" t="inlineStr">
        <is>
          <t>Annual debt repayment assumption</t>
        </is>
      </c>
      <c r="D45" s="120" t="inlineStr">
        <is>
          <t>~$400-500M/yr</t>
        </is>
      </c>
      <c r="E45" s="121" t="inlineStr">
        <is>
          <t>BS</t>
        </is>
      </c>
      <c r="F45" s="122" t="inlineStr">
        <is>
          <t>Consistent with FY25 actual ($437M repaid). Funded by improving FCF + A&amp;D divestiture proceeds.</t>
        </is>
      </c>
    </row>
    <row r="46" ht="48" customHeight="1">
      <c r="B46" s="119" t="inlineStr">
        <is>
          <t>E5</t>
        </is>
      </c>
      <c r="C46" s="99" t="inlineStr">
        <is>
          <t>Effective Tax Rate</t>
        </is>
      </c>
      <c r="D46" s="120" t="inlineStr">
        <is>
          <t>12-15% (FY26-28E)</t>
        </is>
      </c>
      <c r="E46" s="121" t="inlineStr">
        <is>
          <t>P&amp;L</t>
        </is>
      </c>
      <c r="F46" s="122" t="inlineStr">
        <is>
          <t>COHR has significant deferred tax assets from merger-related losses and R&amp;D credits. Effective rate well below statutory ~21%.</t>
        </is>
      </c>
    </row>
    <row r="47" ht="48" customHeight="1">
      <c r="B47" s="119" t="inlineStr">
        <is>
          <t>E6</t>
        </is>
      </c>
      <c r="C47" s="99" t="inlineStr">
        <is>
          <t>Minority Interest (SiC LLC)</t>
        </is>
      </c>
      <c r="D47" s="120" t="inlineStr">
        <is>
          <t>$250M estimate</t>
        </is>
      </c>
      <c r="E47" s="121" t="inlineStr">
        <is>
          <t>EV Bridge</t>
        </is>
      </c>
      <c r="F47" s="122" t="inlineStr">
        <is>
          <t>DENSO + Mitsubishi hold 25% of SiC LLC. Deducted from equity value bridge. Exact value depends on SiC LLC standalone valuation.</t>
        </is>
      </c>
    </row>
    <row r="48" ht="48" customHeight="1">
      <c r="B48" s="119" t="inlineStr">
        <is>
          <t>E7</t>
        </is>
      </c>
      <c r="C48" s="99" t="inlineStr">
        <is>
          <t>Diluted Share Count</t>
        </is>
      </c>
      <c r="D48" s="120" t="inlineStr">
        <is>
          <t>~155M shares</t>
        </is>
      </c>
      <c r="E48" s="121" t="inlineStr">
        <is>
          <t>EPS</t>
        </is>
      </c>
      <c r="F48" s="122" t="inlineStr">
        <is>
          <t>Includes RSU and option dilution. COHR suspended buybacks to focus on deleveraging. Dilution ~0.5% from SBC annually.</t>
        </is>
      </c>
    </row>
    <row r="50" ht="22" customHeight="1">
      <c r="B50" s="116" t="inlineStr">
        <is>
          <t>F. WACC COMPONENTS</t>
        </is>
      </c>
      <c r="C50" s="117" t="n"/>
      <c r="D50" s="117" t="n"/>
      <c r="E50" s="118" t="n"/>
    </row>
    <row r="51" ht="20" customHeight="1">
      <c r="B51" s="16" t="inlineStr">
        <is>
          <t>#</t>
        </is>
      </c>
      <c r="C51" s="16" t="inlineStr">
        <is>
          <t>Assumption Name</t>
        </is>
      </c>
      <c r="D51" s="16" t="inlineStr">
        <is>
          <t>Value / Input</t>
        </is>
      </c>
      <c r="E51" s="16" t="inlineStr">
        <is>
          <t>Category</t>
        </is>
      </c>
      <c r="F51" s="16" t="inlineStr">
        <is>
          <t>Rationale &amp; Source</t>
        </is>
      </c>
    </row>
    <row r="52" ht="48" customHeight="1">
      <c r="B52" s="119" t="inlineStr">
        <is>
          <t>F1</t>
        </is>
      </c>
      <c r="C52" s="99" t="inlineStr">
        <is>
          <t>Risk-Free Rate (10Y UST)</t>
        </is>
      </c>
      <c r="D52" s="120" t="inlineStr">
        <is>
          <t>4.40%</t>
        </is>
      </c>
      <c r="E52" s="121" t="inlineStr">
        <is>
          <t>WACC</t>
        </is>
      </c>
      <c r="F52" s="122" t="inlineStr">
        <is>
          <t>US 10-year Treasury yield as of May 2026. Sensitivity: ±1% = ~±$30-40 on DCF price target.</t>
        </is>
      </c>
    </row>
    <row r="53" ht="48" customHeight="1">
      <c r="B53" s="119" t="inlineStr">
        <is>
          <t>F2</t>
        </is>
      </c>
      <c r="C53" s="99" t="inlineStr">
        <is>
          <t>Equity Risk Premium (ERP)</t>
        </is>
      </c>
      <c r="D53" s="120" t="inlineStr">
        <is>
          <t>5.50%</t>
        </is>
      </c>
      <c r="E53" s="121" t="inlineStr">
        <is>
          <t>WACC</t>
        </is>
      </c>
      <c r="F53" s="122" t="inlineStr">
        <is>
          <t>Damodaran US ERP estimate (January 2026). Implied ERP from S&amp;P 500 earnings yield vs 10Y.</t>
        </is>
      </c>
    </row>
    <row r="54" ht="48" customHeight="1">
      <c r="B54" s="119" t="inlineStr">
        <is>
          <t>F3</t>
        </is>
      </c>
      <c r="C54" s="99" t="inlineStr">
        <is>
          <t>Beta (5Y monthly vs S&amp;P500)</t>
        </is>
      </c>
      <c r="D54" s="120" t="inlineStr">
        <is>
          <t>1.65</t>
        </is>
      </c>
      <c r="E54" s="121" t="inlineStr">
        <is>
          <t>WACC</t>
        </is>
      </c>
      <c r="F54" s="122" t="inlineStr">
        <is>
          <t>Bloomberg 60-month regression. COHR is cyclically exposed tech hardware; inherently high beta. Peer median ~1.4.</t>
        </is>
      </c>
    </row>
    <row r="55" ht="48" customHeight="1">
      <c r="B55" s="119" t="inlineStr">
        <is>
          <t>F4</t>
        </is>
      </c>
      <c r="C55" s="99" t="inlineStr">
        <is>
          <t>Cost of Equity (CAPM)</t>
        </is>
      </c>
      <c r="D55" s="120" t="inlineStr">
        <is>
          <t>13.5%</t>
        </is>
      </c>
      <c r="E55" s="121" t="inlineStr">
        <is>
          <t>WACC</t>
        </is>
      </c>
      <c r="F55" s="122">
        <f> 4.40% + 1.65 × 5.50% = 13.5%. Sensitivity: WACC table shows range $60-$300 across plausible WACC scenarios.</f>
        <v/>
      </c>
    </row>
    <row r="56" ht="48" customHeight="1">
      <c r="B56" s="119" t="inlineStr">
        <is>
          <t>F5</t>
        </is>
      </c>
      <c r="C56" s="99" t="inlineStr">
        <is>
          <t>Pre-tax Cost of Debt</t>
        </is>
      </c>
      <c r="D56" s="120" t="inlineStr">
        <is>
          <t>5.20%</t>
        </is>
      </c>
      <c r="E56" s="121" t="inlineStr">
        <is>
          <t>WACC</t>
        </is>
      </c>
      <c r="F56" s="122" t="inlineStr">
        <is>
          <t>Blended rate on $3.9B outstanding. Senior secured term loans ~SOFR+175bps; senior notes ~6.0%. Weighted average ~5.2%.</t>
        </is>
      </c>
    </row>
    <row r="57" ht="48" customHeight="1">
      <c r="B57" s="119" t="inlineStr">
        <is>
          <t>F6</t>
        </is>
      </c>
      <c r="C57" s="99" t="inlineStr">
        <is>
          <t>Capital Structure (E/V)</t>
        </is>
      </c>
      <c r="D57" s="120" t="inlineStr">
        <is>
          <t>E: 75.5%, D: 24.5%</t>
        </is>
      </c>
      <c r="E57" s="121" t="inlineStr">
        <is>
          <t>WACC</t>
        </is>
      </c>
      <c r="F57" s="122" t="inlineStr">
        <is>
          <t>At current market cap $60.2B and net debt $2.98B. As company deleverages, D/V shrinks → WACC decreases → EV re-rates.</t>
        </is>
      </c>
    </row>
    <row r="58" ht="48" customHeight="1">
      <c r="B58" s="119" t="inlineStr">
        <is>
          <t>F7</t>
        </is>
      </c>
      <c r="C58" s="99" t="inlineStr">
        <is>
          <t>WACC (Blended)</t>
        </is>
      </c>
      <c r="D58" s="120" t="inlineStr">
        <is>
          <t>11.62%</t>
        </is>
      </c>
      <c r="E58" s="121" t="inlineStr">
        <is>
          <t>WACC</t>
        </is>
      </c>
      <c r="F58" s="122">
        <f> (75.5% × 13.5%) + (24.5% × 5.20% × (1-13%)) = 11.62%. Benchmark: 10-14% range typical for mid-cap tech hardware.</f>
        <v/>
      </c>
    </row>
    <row r="60" ht="22" customHeight="1">
      <c r="B60" s="116" t="inlineStr">
        <is>
          <t>G. TERMINAL VALUE</t>
        </is>
      </c>
      <c r="C60" s="117" t="n"/>
      <c r="D60" s="117" t="n"/>
      <c r="E60" s="118" t="n"/>
    </row>
    <row r="61" ht="20" customHeight="1">
      <c r="B61" s="16" t="inlineStr">
        <is>
          <t>#</t>
        </is>
      </c>
      <c r="C61" s="16" t="inlineStr">
        <is>
          <t>Assumption Name</t>
        </is>
      </c>
      <c r="D61" s="16" t="inlineStr">
        <is>
          <t>Value / Input</t>
        </is>
      </c>
      <c r="E61" s="16" t="inlineStr">
        <is>
          <t>Category</t>
        </is>
      </c>
      <c r="F61" s="16" t="inlineStr">
        <is>
          <t>Rationale &amp; Source</t>
        </is>
      </c>
    </row>
    <row r="62" ht="48" customHeight="1">
      <c r="B62" s="119" t="inlineStr">
        <is>
          <t>G1</t>
        </is>
      </c>
      <c r="C62" s="99" t="inlineStr">
        <is>
          <t>Terminal Growth Rate (TGR)</t>
        </is>
      </c>
      <c r="D62" s="120" t="inlineStr">
        <is>
          <t>3.00%</t>
        </is>
      </c>
      <c r="E62" s="121" t="inlineStr">
        <is>
          <t>TV</t>
        </is>
      </c>
      <c r="F62" s="122" t="inlineStr">
        <is>
          <t>Assumes long-run nominal GDP growth (~2%) + photonics structural premium (~1%). Sensitivity: 1.5%-4.5% range tested in Table 1.</t>
        </is>
      </c>
    </row>
    <row r="63" ht="48" customHeight="1">
      <c r="B63" s="119" t="inlineStr">
        <is>
          <t>G2</t>
        </is>
      </c>
      <c r="C63" s="99" t="inlineStr">
        <is>
          <t>Terminal UFCF Base</t>
        </is>
      </c>
      <c r="D63" s="120" t="inlineStr">
        <is>
          <t>$2,648M (FY30E × 1.03)</t>
        </is>
      </c>
      <c r="E63" s="121" t="inlineStr">
        <is>
          <t>TV</t>
        </is>
      </c>
      <c r="F63" s="122" t="inlineStr">
        <is>
          <t>FY2030E UFCF $2,571M × (1+3%). Conservative given COHR expected to be FCF-positive and growing in terminal year.</t>
        </is>
      </c>
    </row>
    <row r="64" ht="48" customHeight="1">
      <c r="B64" s="119" t="inlineStr">
        <is>
          <t>G3</t>
        </is>
      </c>
      <c r="C64" s="99" t="inlineStr">
        <is>
          <t>Perpetuity Terminal Value</t>
        </is>
      </c>
      <c r="D64" s="120" t="inlineStr">
        <is>
          <t>$30,558M</t>
        </is>
      </c>
      <c r="E64" s="121" t="inlineStr">
        <is>
          <t>TV</t>
        </is>
      </c>
      <c r="F64" s="122">
        <f> $2,648M / (11.62% - 3.00%) = $30,558M. PV = $17,628M. Represents 75.9% of total EV — slightly above 75% guideline.</f>
        <v/>
      </c>
    </row>
    <row r="65" ht="48" customHeight="1">
      <c r="B65" s="119" t="inlineStr">
        <is>
          <t>G4</t>
        </is>
      </c>
      <c r="C65" s="99" t="inlineStr">
        <is>
          <t>Exit Multiple (EV/EBITDA)</t>
        </is>
      </c>
      <c r="D65" s="120" t="inlineStr">
        <is>
          <t>6.5x FY2030E EBITDA</t>
        </is>
      </c>
      <c r="E65" s="121" t="inlineStr">
        <is>
          <t>TV</t>
        </is>
      </c>
      <c r="F65" s="122" t="inlineStr">
        <is>
          <t>Mature industrial tech: 6-8x EV/EBITDA reasonable for asset-heavy photonics company in terminal state. MKSI trades ~8x currently.</t>
        </is>
      </c>
    </row>
    <row r="66" ht="48" customHeight="1">
      <c r="B66" s="119" t="inlineStr">
        <is>
          <t>G5</t>
        </is>
      </c>
      <c r="C66" s="99" t="inlineStr">
        <is>
          <t>TV weight in blended valuation</t>
        </is>
      </c>
      <c r="D66" s="120" t="inlineStr">
        <is>
          <t>Perpetuity 50%, Exit 50%</t>
        </is>
      </c>
      <c r="E66" s="121" t="inlineStr">
        <is>
          <t>TV</t>
        </is>
      </c>
      <c r="F66" s="122" t="inlineStr">
        <is>
          <t>Blended to reduce method risk. Perpetuity gives $17.6B PV; Exit multiple gives $14.4B PV. Blended: ~$16B.</t>
        </is>
      </c>
    </row>
    <row r="67" ht="48" customHeight="1">
      <c r="B67" s="119" t="inlineStr">
        <is>
          <t>G6</t>
        </is>
      </c>
      <c r="C67" s="99" t="inlineStr">
        <is>
          <t>Projection horizon</t>
        </is>
      </c>
      <c r="D67" s="120" t="inlineStr">
        <is>
          <t>5 years (FY26-30)</t>
        </is>
      </c>
      <c r="E67" s="121" t="inlineStr">
        <is>
          <t>TV</t>
        </is>
      </c>
      <c r="F67" s="122" t="inlineStr">
        <is>
          <t>Standard 5-year explicit period. Justification: COHR still in investment phase; FY30 is first normalized free cash flow year.</t>
        </is>
      </c>
    </row>
    <row r="69">
      <c r="B69" s="39" t="inlineStr">
        <is>
          <t>Total assumptions documented: 38 items across 7 categories | Model Date: May 22, 2026 | Analyst: Please update highlighted cells each quarter</t>
        </is>
      </c>
    </row>
  </sheetData>
  <mergeCells count="10">
    <mergeCell ref="B26:E26"/>
    <mergeCell ref="B40:E40"/>
    <mergeCell ref="B4:E4"/>
    <mergeCell ref="B50:E50"/>
    <mergeCell ref="B69:E69"/>
    <mergeCell ref="B6:E6"/>
    <mergeCell ref="B16:E16"/>
    <mergeCell ref="B33:E33"/>
    <mergeCell ref="B2:E2"/>
    <mergeCell ref="B60:E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2026-05-22T14:54:22Z</dcterms:created>
  <dcterms:modified xmlns:dcterms="http://purl.org/dc/terms/" xmlns:xsi="http://www.w3.org/2001/XMLSchema-instance" xsi:type="dcterms:W3CDTF">2026-05-22T15:02:44Z</dcterms:modified>
</cp:coreProperties>
</file>