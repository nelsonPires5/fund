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venue Model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DCF Model" sheetId="6" state="visible" r:id="rId6"/>
    <sheet xmlns:r="http://schemas.openxmlformats.org/officeDocument/2006/relationships" name="Sensitivity" sheetId="7" state="visible" r:id="rId7"/>
    <sheet xmlns:r="http://schemas.openxmlformats.org/officeDocument/2006/relationships" name="Comp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(#,##0);&quot;-&quot;"/>
    <numFmt numFmtId="165" formatCode="$#,##0.00;($#,##0.00);&quot;-&quot;"/>
    <numFmt numFmtId="166" formatCode="$#,##0.00;($#,##0.00)"/>
    <numFmt numFmtId="167" formatCode="$#,##0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b val="1"/>
      <color rgb="00FFFFFF"/>
      <sz val="11"/>
    </font>
    <font>
      <name val="Calibri"/>
      <color rgb="00595959"/>
      <sz val="9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1F3864"/>
      <sz val="10"/>
    </font>
    <font>
      <name val="Calibri"/>
      <color rgb="00375623"/>
      <sz val="9"/>
    </font>
    <font>
      <name val="Calibri"/>
      <color rgb="009C0006"/>
      <sz val="9"/>
    </font>
    <font>
      <name val="Calibri"/>
      <b val="1"/>
      <color rgb="001F3864"/>
      <sz val="16"/>
    </font>
    <font>
      <name val="Calibri"/>
      <color rgb="000000FF"/>
      <sz val="10"/>
    </font>
    <font>
      <name val="Calibri"/>
      <color rgb="00375623"/>
      <sz val="10"/>
    </font>
    <font>
      <name val="Calibri"/>
      <color rgb="009C0006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2F2F2"/>
      </patternFill>
    </fill>
    <fill>
      <patternFill patternType="solid">
        <fgColor rgb="00C55A11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5" fillId="5" borderId="0" pivotButton="0" quotePrefix="0" xfId="0"/>
    <xf numFmtId="0" fontId="0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2" fillId="3" borderId="0" applyAlignment="1" pivotButton="0" quotePrefix="0" xfId="0">
      <alignment horizontal="left" vertical="center" indent="1"/>
    </xf>
    <xf numFmtId="164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6" fillId="5" borderId="0" pivotButton="0" quotePrefix="0" xfId="0"/>
    <xf numFmtId="164" fontId="0" fillId="0" borderId="0" applyAlignment="1" pivotButton="0" quotePrefix="0" xfId="0">
      <alignment horizontal="center" vertical="center"/>
    </xf>
    <xf numFmtId="165" fontId="0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 indent="1"/>
    </xf>
    <xf numFmtId="0" fontId="6" fillId="5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center" wrapText="1"/>
    </xf>
    <xf numFmtId="0" fontId="2" fillId="6" borderId="0" applyAlignment="1" pivotButton="0" quotePrefix="0" xfId="0">
      <alignment horizontal="left" vertical="center" indent="1"/>
    </xf>
    <xf numFmtId="0" fontId="2" fillId="6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left" vertical="center" wrapText="1"/>
    </xf>
    <xf numFmtId="0" fontId="0" fillId="7" borderId="0" pivotButton="0" quotePrefix="0" xfId="0"/>
    <xf numFmtId="0" fontId="9" fillId="8" borderId="0" applyAlignment="1" pivotButton="0" quotePrefix="0" xfId="0">
      <alignment horizontal="left" vertical="center" wrapText="1"/>
    </xf>
    <xf numFmtId="0" fontId="0" fillId="8" borderId="0" pivotButton="0" quotePrefix="0" xfId="0"/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10" fillId="0" borderId="0" applyAlignment="1" pivotButton="0" quotePrefix="0" xfId="0">
      <alignment horizontal="left" vertical="center" indent="1"/>
    </xf>
    <xf numFmtId="0" fontId="4" fillId="3" borderId="0" applyAlignment="1" pivotButton="0" quotePrefix="0" xfId="0">
      <alignment horizontal="center" vertical="center"/>
    </xf>
    <xf numFmtId="164" fontId="4" fillId="3" borderId="0" applyAlignment="1" pivotButton="0" quotePrefix="0" xfId="0">
      <alignment horizontal="center" vertical="center"/>
    </xf>
    <xf numFmtId="0" fontId="5" fillId="7" borderId="0" pivotButton="0" quotePrefix="0" xfId="0"/>
    <xf numFmtId="164" fontId="0" fillId="7" borderId="0" applyAlignment="1" pivotButton="0" quotePrefix="0" xfId="0">
      <alignment horizontal="center" vertical="center"/>
    </xf>
    <xf numFmtId="0" fontId="5" fillId="4" borderId="0" pivotButton="0" quotePrefix="0" xfId="0"/>
    <xf numFmtId="164" fontId="0" fillId="4" borderId="0" applyAlignment="1" pivotButton="0" quotePrefix="0" xfId="0">
      <alignment horizontal="center" vertical="center"/>
    </xf>
    <xf numFmtId="0" fontId="5" fillId="8" borderId="0" pivotButton="0" quotePrefix="0" xfId="0"/>
    <xf numFmtId="164" fontId="0" fillId="8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164" fontId="5" fillId="4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65" fontId="5" fillId="4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2" fillId="2" borderId="0" pivotButton="0" quotePrefix="0" xfId="0"/>
    <xf numFmtId="0" fontId="2" fillId="3" borderId="0" pivotButton="0" quotePrefix="0" xfId="0"/>
    <xf numFmtId="0" fontId="5" fillId="2" borderId="0" pivotButton="0" quotePrefix="0" xfId="0"/>
    <xf numFmtId="0" fontId="1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4" fillId="2" borderId="0" pivotButton="0" quotePrefix="0" xfId="0"/>
    <xf numFmtId="166" fontId="0" fillId="0" borderId="0" applyAlignment="1" pivotButton="0" quotePrefix="0" xfId="0">
      <alignment horizontal="center" vertical="center"/>
    </xf>
    <xf numFmtId="166" fontId="4" fillId="2" borderId="0" applyAlignment="1" pivotButton="0" quotePrefix="0" xfId="0">
      <alignment horizontal="center" vertical="center"/>
    </xf>
    <xf numFmtId="167" fontId="12" fillId="7" borderId="0" applyAlignment="1" pivotButton="0" quotePrefix="0" xfId="0">
      <alignment horizontal="center" vertical="center"/>
    </xf>
    <xf numFmtId="167" fontId="0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167" fontId="4" fillId="2" borderId="0" applyAlignment="1" pivotButton="0" quotePrefix="0" xfId="0">
      <alignment horizontal="center" vertical="center"/>
    </xf>
    <xf numFmtId="167" fontId="13" fillId="8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 indent="1"/>
    </xf>
    <xf numFmtId="0" fontId="6" fillId="5" borderId="0" applyAlignment="1" pivotButton="0" quotePrefix="0" xfId="0">
      <alignment horizontal="left" vertical="center" indent="1"/>
    </xf>
    <xf numFmtId="0" fontId="6" fillId="9" borderId="0" applyAlignment="1" pivotButton="0" quotePrefix="0" xfId="0">
      <alignment horizontal="left" vertical="center" indent="1"/>
    </xf>
    <xf numFmtId="0" fontId="0" fillId="9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40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</cols>
  <sheetData>
    <row r="1" ht="8" customHeight="1"/>
    <row r="2" ht="40" customHeight="1">
      <c r="B2" s="1" t="inlineStr">
        <is>
          <t>MICRON TECHNOLOGY, INC. (NASDAQ: MU)</t>
        </is>
      </c>
    </row>
    <row r="3" ht="20" customHeight="1">
      <c r="B3" s="2" t="inlineStr">
        <is>
          <t>INITIATING COVERAGE  |  BUY  |  PRICE TARGET: $1,000  |  UPSIDE: 24.4%</t>
        </is>
      </c>
    </row>
    <row r="4" ht="18" customHeight="1">
      <c r="B4" s="3" t="inlineStr">
        <is>
          <t>Equity Research  |  Semiconductors  |  Generated: May 11, 2026</t>
        </is>
      </c>
    </row>
    <row r="6">
      <c r="B6" s="4" t="inlineStr">
        <is>
          <t>Metric</t>
        </is>
      </c>
      <c r="C6" s="4" t="inlineStr">
        <is>
          <t>Value</t>
        </is>
      </c>
      <c r="D6" s="4" t="inlineStr"/>
      <c r="E6" s="4" t="inlineStr">
        <is>
          <t>Metric</t>
        </is>
      </c>
      <c r="F6" s="4" t="inlineStr">
        <is>
          <t>Value</t>
        </is>
      </c>
      <c r="G6" s="4" t="inlineStr"/>
      <c r="H6" s="4" t="inlineStr">
        <is>
          <t>Metric</t>
        </is>
      </c>
      <c r="I6" s="4" t="inlineStr">
        <is>
          <t>Value</t>
        </is>
      </c>
    </row>
    <row r="7" ht="16" customHeight="1">
      <c r="B7" s="5" t="inlineStr">
        <is>
          <t>Current Price</t>
        </is>
      </c>
      <c r="C7" s="6" t="inlineStr">
        <is>
          <t>$804.10</t>
        </is>
      </c>
      <c r="D7" t="inlineStr"/>
      <c r="E7" s="5" t="inlineStr">
        <is>
          <t>Market Cap</t>
        </is>
      </c>
      <c r="F7" s="6" t="inlineStr">
        <is>
          <t>$906.8B</t>
        </is>
      </c>
      <c r="G7" t="inlineStr"/>
      <c r="H7" s="5" t="inlineStr">
        <is>
          <t>Price Target</t>
        </is>
      </c>
      <c r="I7" s="6" t="inlineStr">
        <is>
          <t>$1,000</t>
        </is>
      </c>
    </row>
    <row r="8" ht="16" customHeight="1">
      <c r="B8" s="7" t="inlineStr">
        <is>
          <t>52W Range</t>
        </is>
      </c>
      <c r="C8" s="8" t="inlineStr">
        <is>
          <t>$90.93 – $818.67</t>
        </is>
      </c>
      <c r="D8" s="9" t="inlineStr"/>
      <c r="E8" s="7" t="inlineStr">
        <is>
          <t>Net Debt</t>
        </is>
      </c>
      <c r="F8" s="8" t="inlineStr">
        <is>
          <t>$5.6B</t>
        </is>
      </c>
      <c r="G8" s="9" t="inlineStr"/>
      <c r="H8" s="7" t="inlineStr">
        <is>
          <t>Upside</t>
        </is>
      </c>
      <c r="I8" s="8" t="inlineStr">
        <is>
          <t>24.4%</t>
        </is>
      </c>
    </row>
    <row r="9" ht="16" customHeight="1">
      <c r="B9" s="5" t="inlineStr">
        <is>
          <t>Rating</t>
        </is>
      </c>
      <c r="C9" s="6" t="inlineStr">
        <is>
          <t>BUY</t>
        </is>
      </c>
      <c r="D9" t="inlineStr"/>
      <c r="E9" s="5" t="inlineStr">
        <is>
          <t>Enterprise Value</t>
        </is>
      </c>
      <c r="F9" s="6" t="inlineStr">
        <is>
          <t>$912.4B</t>
        </is>
      </c>
      <c r="G9" t="inlineStr"/>
      <c r="H9" s="5" t="inlineStr">
        <is>
          <t>Rating Change</t>
        </is>
      </c>
      <c r="I9" s="6" t="inlineStr">
        <is>
          <t>INITIATING</t>
        </is>
      </c>
    </row>
    <row r="10" ht="16" customHeight="1">
      <c r="B10" s="7" t="inlineStr">
        <is>
          <t>Shares Out. (dil.)</t>
        </is>
      </c>
      <c r="C10" s="8" t="inlineStr">
        <is>
          <t>1,125M</t>
        </is>
      </c>
      <c r="D10" s="9" t="inlineStr"/>
      <c r="E10" s="7" t="inlineStr">
        <is>
          <t>Avg. Analyst PT</t>
        </is>
      </c>
      <c r="F10" s="8" t="inlineStr">
        <is>
          <t>$537.8</t>
        </is>
      </c>
      <c r="G10" s="9" t="inlineStr"/>
      <c r="H10" s="7" t="inlineStr">
        <is>
          <t>Bull Analysts</t>
        </is>
      </c>
      <c r="I10" s="8" t="inlineStr">
        <is>
          <t>24/25 (96%)</t>
        </is>
      </c>
    </row>
    <row r="11">
      <c r="B11" s="10" t="inlineStr">
        <is>
          <t>KEY FINANCIAL METRICS (USD millions, except per share data)</t>
        </is>
      </c>
      <c r="C11" s="2" t="n"/>
      <c r="D11" s="2" t="n"/>
      <c r="E11" s="2" t="n"/>
      <c r="F11" s="2" t="n"/>
      <c r="G11" s="2" t="n"/>
      <c r="H11" s="2" t="n"/>
      <c r="I11" s="2" t="n"/>
    </row>
    <row r="12">
      <c r="B12" s="4" t="inlineStr">
        <is>
          <t>Metric</t>
        </is>
      </c>
      <c r="C12" s="4" t="inlineStr">
        <is>
          <t>FY2021</t>
        </is>
      </c>
      <c r="D12" s="4" t="inlineStr">
        <is>
          <t>FY2022</t>
        </is>
      </c>
      <c r="E12" s="4" t="inlineStr">
        <is>
          <t>FY2023</t>
        </is>
      </c>
      <c r="F12" s="4" t="inlineStr">
        <is>
          <t>FY2024</t>
        </is>
      </c>
      <c r="G12" s="4" t="inlineStr">
        <is>
          <t>FY2025A</t>
        </is>
      </c>
      <c r="H12" s="4" t="inlineStr">
        <is>
          <t>FY2026E</t>
        </is>
      </c>
      <c r="I12" s="4" t="inlineStr">
        <is>
          <t>FY2027E</t>
        </is>
      </c>
    </row>
    <row r="13" ht="16" customHeight="1">
      <c r="B13" s="7" t="inlineStr">
        <is>
          <t>Revenue ($M)</t>
        </is>
      </c>
      <c r="C13" s="11" t="n">
        <v>27705</v>
      </c>
      <c r="D13" s="11" t="n">
        <v>30758</v>
      </c>
      <c r="E13" s="11" t="n">
        <v>15540</v>
      </c>
      <c r="F13" s="11" t="n">
        <v>25111</v>
      </c>
      <c r="G13" s="11" t="n">
        <v>37378</v>
      </c>
      <c r="H13" s="11" t="n">
        <v>109286</v>
      </c>
      <c r="I13" s="11" t="n">
        <v>170657</v>
      </c>
    </row>
    <row r="14" ht="16" customHeight="1">
      <c r="B14" s="12" t="inlineStr">
        <is>
          <t>Revenue Growth</t>
        </is>
      </c>
      <c r="C14" s="6" t="n"/>
      <c r="D14" s="6" t="inlineStr">
        <is>
          <t>11.0%</t>
        </is>
      </c>
      <c r="E14" s="6" t="inlineStr">
        <is>
          <t>-49.5%</t>
        </is>
      </c>
      <c r="F14" s="6" t="inlineStr">
        <is>
          <t>61.6%</t>
        </is>
      </c>
      <c r="G14" s="6" t="inlineStr">
        <is>
          <t>48.9%</t>
        </is>
      </c>
      <c r="H14" s="6" t="inlineStr">
        <is>
          <t>192.4%</t>
        </is>
      </c>
      <c r="I14" s="6" t="inlineStr">
        <is>
          <t>56.2%</t>
        </is>
      </c>
    </row>
    <row r="15" ht="16" customHeight="1">
      <c r="B15" s="13" t="inlineStr">
        <is>
          <t>Gross Margin</t>
        </is>
      </c>
      <c r="C15" s="8" t="inlineStr">
        <is>
          <t>39.7%</t>
        </is>
      </c>
      <c r="D15" s="8" t="inlineStr">
        <is>
          <t>45.9%</t>
        </is>
      </c>
      <c r="E15" s="8" t="inlineStr">
        <is>
          <t>-9.1%</t>
        </is>
      </c>
      <c r="F15" s="8" t="inlineStr">
        <is>
          <t>22.4%</t>
        </is>
      </c>
      <c r="G15" s="8" t="inlineStr">
        <is>
          <t>39.8%</t>
        </is>
      </c>
      <c r="H15" s="8" t="inlineStr">
        <is>
          <t>81.3%</t>
        </is>
      </c>
      <c r="I15" s="8" t="inlineStr">
        <is>
          <t>85.3%</t>
        </is>
      </c>
    </row>
    <row r="16" ht="16" customHeight="1">
      <c r="B16" s="5" t="inlineStr">
        <is>
          <t>Adj. EBITDA ($M)</t>
        </is>
      </c>
      <c r="C16" s="14" t="n">
        <v>12497</v>
      </c>
      <c r="D16" s="14" t="n">
        <v>16818</v>
      </c>
      <c r="E16" s="14" t="n">
        <v>2011</v>
      </c>
      <c r="F16" s="14" t="n">
        <v>9084</v>
      </c>
      <c r="G16" s="14" t="n">
        <v>18122</v>
      </c>
      <c r="H16" s="14" t="n">
        <v>88900</v>
      </c>
      <c r="I16" s="14" t="n">
        <v>145535</v>
      </c>
    </row>
    <row r="17" ht="16" customHeight="1">
      <c r="B17" s="13" t="inlineStr">
        <is>
          <t>Adj. EBITDA Margin</t>
        </is>
      </c>
      <c r="C17" s="8" t="inlineStr">
        <is>
          <t>45.1%</t>
        </is>
      </c>
      <c r="D17" s="8" t="inlineStr">
        <is>
          <t>54.7%</t>
        </is>
      </c>
      <c r="E17" s="8" t="inlineStr">
        <is>
          <t>12.9%</t>
        </is>
      </c>
      <c r="F17" s="8" t="inlineStr">
        <is>
          <t>36.2%</t>
        </is>
      </c>
      <c r="G17" s="8" t="inlineStr">
        <is>
          <t>48.5%</t>
        </is>
      </c>
      <c r="H17" s="8" t="inlineStr">
        <is>
          <t>81.3%</t>
        </is>
      </c>
      <c r="I17" s="8" t="inlineStr">
        <is>
          <t>85.3%</t>
        </is>
      </c>
    </row>
    <row r="18" ht="16" customHeight="1">
      <c r="B18" s="5" t="inlineStr">
        <is>
          <t>Net Income ($M)</t>
        </is>
      </c>
      <c r="C18" s="14" t="n">
        <v>5861</v>
      </c>
      <c r="D18" s="14" t="n">
        <v>8687</v>
      </c>
      <c r="E18" s="14" t="n">
        <v>-5833</v>
      </c>
      <c r="F18" s="14" t="n">
        <v>778</v>
      </c>
      <c r="G18" s="14" t="n">
        <v>8539</v>
      </c>
      <c r="H18" s="14" t="n">
        <v>66055</v>
      </c>
      <c r="I18" s="14" t="n">
        <v>108588</v>
      </c>
    </row>
    <row r="19" ht="16" customHeight="1">
      <c r="B19" s="13" t="inlineStr">
        <is>
          <t>Adj. EPS</t>
        </is>
      </c>
      <c r="C19" s="15" t="n">
        <v>6.06</v>
      </c>
      <c r="D19" s="15" t="n">
        <v>8.35</v>
      </c>
      <c r="E19" s="15" t="n">
        <v>-4.45</v>
      </c>
      <c r="F19" s="15" t="n">
        <v>1.3</v>
      </c>
      <c r="G19" s="15" t="n">
        <v>8.289999999999999</v>
      </c>
      <c r="H19" s="15" t="n">
        <v>68.59999999999999</v>
      </c>
      <c r="I19" s="15" t="n">
        <v>136.24</v>
      </c>
    </row>
    <row r="20" ht="16" customHeight="1">
      <c r="B20" s="12" t="inlineStr">
        <is>
          <t>CapEx ($M)</t>
        </is>
      </c>
      <c r="C20" s="14" t="n">
        <v>10030</v>
      </c>
      <c r="D20" s="14" t="n">
        <v>12067</v>
      </c>
      <c r="E20" s="14" t="n">
        <v>7676</v>
      </c>
      <c r="F20" s="14" t="n">
        <v>8386</v>
      </c>
      <c r="G20" s="14" t="n">
        <v>13800</v>
      </c>
      <c r="H20" s="14" t="n">
        <v>20000</v>
      </c>
      <c r="I20" s="14" t="n">
        <v>22000</v>
      </c>
    </row>
    <row r="21" ht="16" customHeight="1">
      <c r="B21" s="13" t="inlineStr">
        <is>
          <t>FCF ($M)</t>
        </is>
      </c>
      <c r="C21" s="11" t="n">
        <v>2438</v>
      </c>
      <c r="D21" s="11" t="n">
        <v>3114</v>
      </c>
      <c r="E21" s="11" t="n">
        <v>-6117</v>
      </c>
      <c r="F21" s="11" t="n">
        <v>121</v>
      </c>
      <c r="G21" s="11" t="n">
        <v>1668</v>
      </c>
      <c r="H21" s="11" t="n">
        <v>47000</v>
      </c>
      <c r="I21" s="11" t="n">
        <v>82000</v>
      </c>
    </row>
    <row r="24">
      <c r="B24" s="10" t="inlineStr">
        <is>
          <t>INVESTMENT THESIS</t>
        </is>
      </c>
      <c r="C24" s="2" t="n"/>
      <c r="D24" s="2" t="n"/>
      <c r="E24" s="2" t="n"/>
      <c r="F24" s="2" t="n"/>
      <c r="G24" s="2" t="n"/>
      <c r="H24" s="2" t="n"/>
      <c r="I24" s="2" t="n"/>
    </row>
    <row r="25" ht="32" customHeight="1">
      <c r="B25" s="16" t="inlineStr">
        <is>
          <t>1. HBM Supercycle</t>
        </is>
      </c>
      <c r="C25" s="17" t="inlineStr">
        <is>
          <t>Micron's entire CY2026 HBM supply is sold out under multi-year price &amp; volume contracts. HBM TAM forecast to grow from ~$35B (2025) to ~$100B (2028) at ~40% CAGR, and Micron is gaining share vs Samsung.</t>
        </is>
      </c>
      <c r="D25" s="9" t="n"/>
      <c r="E25" s="9" t="n"/>
      <c r="F25" s="9" t="n"/>
      <c r="G25" s="9" t="n"/>
      <c r="H25" s="9" t="n"/>
      <c r="I25" s="9" t="n"/>
    </row>
    <row r="26" ht="32" customHeight="1">
      <c r="B26" s="18" t="inlineStr">
        <is>
          <t>2. Structural Margin Re-Rating</t>
        </is>
      </c>
      <c r="C26" s="19" t="inlineStr">
        <is>
          <t>Gross margins expanded from 22% (FY2024) to 39% (FY2025) to 75% (Q2 FY2026), driven by premium HBM pricing (~4x vs. standard DRAM). EBITDA margin near 82% in FY2026E — a structural step change, not a blip.</t>
        </is>
      </c>
    </row>
    <row r="27" ht="32" customHeight="1">
      <c r="B27" s="16" t="inlineStr">
        <is>
          <t>3. Valuation Remains Compelling</t>
        </is>
      </c>
      <c r="C27" s="17" t="inlineStr">
        <is>
          <t>Trading at 11.7x FY2026E adj. EPS and 10.3x EV/EBITDA — significant discount to NVDA (22x P/E) and sector median despite superior near-term growth (~192% revenue growth in FY2026E).</t>
        </is>
      </c>
      <c r="D27" s="9" t="n"/>
      <c r="E27" s="9" t="n"/>
      <c r="F27" s="9" t="n"/>
      <c r="G27" s="9" t="n"/>
      <c r="H27" s="9" t="n"/>
      <c r="I27" s="9" t="n"/>
    </row>
    <row r="28" ht="32" customHeight="1">
      <c r="B28" s="18" t="inlineStr">
        <is>
          <t>4. HBM4 Leadership</t>
        </is>
      </c>
      <c r="C28" s="19" t="inlineStr">
        <is>
          <t>Micron's HBM4 (&gt;11 Gbps speed) ramping in Q2 CY2026, and NVDA is reportedly prioritizing MU's HBM over SK Hynix due to minor SK performance issues on Blackwell. Secular AI buildout continues through 2030+.</t>
        </is>
      </c>
    </row>
    <row r="29" ht="32" customHeight="1">
      <c r="B29" s="16" t="inlineStr">
        <is>
          <t>5. Balance Sheet Strength</t>
        </is>
      </c>
      <c r="C29" s="17" t="inlineStr">
        <is>
          <t>Record net cash position post Q2 FY2026. Debt reduced by $1.6B in Q2 FY2026. Strong FCF generation funds $20B capex program for 1-gamma/HBM while maintaining pristine balance sheet.</t>
        </is>
      </c>
      <c r="D29" s="9" t="n"/>
      <c r="E29" s="9" t="n"/>
      <c r="F29" s="9" t="n"/>
      <c r="G29" s="9" t="n"/>
      <c r="H29" s="9" t="n"/>
      <c r="I29" s="9" t="n"/>
    </row>
    <row r="32">
      <c r="B32" s="10" t="inlineStr">
        <is>
          <t>KEY CATALYSTS</t>
        </is>
      </c>
      <c r="C32" s="2" t="n"/>
      <c r="D32" s="2" t="n"/>
      <c r="E32" s="2" t="n"/>
      <c r="F32" s="20" t="inlineStr">
        <is>
          <t>KEY RISKS</t>
        </is>
      </c>
      <c r="G32" s="21" t="n"/>
      <c r="H32" s="21" t="n"/>
      <c r="I32" s="21" t="n"/>
    </row>
    <row r="33" ht="24" customHeight="1">
      <c r="B33" s="22" t="inlineStr">
        <is>
          <t>• Q3 FY2026 earnings (Jun 2026): guidance for &gt;$33.5B revenue and $19+ EPS</t>
        </is>
      </c>
      <c r="C33" s="23" t="n"/>
      <c r="D33" s="23" t="n"/>
      <c r="E33" s="23" t="n"/>
      <c r="F33" s="24" t="inlineStr">
        <is>
          <t>• Memory cycle downturn: commodity DRAM/NAND price correction</t>
        </is>
      </c>
      <c r="G33" s="25" t="n"/>
      <c r="H33" s="25" t="n"/>
      <c r="I33" s="25" t="n"/>
    </row>
    <row r="34" ht="24" customHeight="1">
      <c r="B34" s="26" t="inlineStr">
        <is>
          <t>• HBM4 ramp qualification at NVIDIA Blackwell Ultra (H2 CY2026)</t>
        </is>
      </c>
      <c r="F34" s="27" t="inlineStr">
        <is>
          <t>• Samsung HBM qualification at NVIDIA – loss of share to competitor</t>
        </is>
      </c>
    </row>
    <row r="35" ht="24" customHeight="1">
      <c r="B35" s="22" t="inlineStr">
        <is>
          <t>• Expansion of HBM market share from Samsung's qualification struggles</t>
        </is>
      </c>
      <c r="C35" s="23" t="n"/>
      <c r="D35" s="23" t="n"/>
      <c r="E35" s="23" t="n"/>
      <c r="F35" s="24" t="inlineStr">
        <is>
          <t>• CapEx overrun: $20B FY2026 plan in execution risk; cleanroom lead times</t>
        </is>
      </c>
      <c r="G35" s="25" t="n"/>
      <c r="H35" s="25" t="n"/>
      <c r="I35" s="25" t="n"/>
    </row>
    <row r="36" ht="24" customHeight="1">
      <c r="B36" s="26" t="inlineStr">
        <is>
          <t>• CHIPS Act funding: Greenfield Idaho &amp; New York fab completions 2027-2028</t>
        </is>
      </c>
      <c r="F36" s="27" t="inlineStr">
        <is>
          <t>• China/Tariff risk: geopolitical restrictions on DRAM exports</t>
        </is>
      </c>
    </row>
    <row r="37" ht="24" customHeight="1">
      <c r="B37" s="22" t="inlineStr">
        <is>
          <t>• Data center memory content growth per GPU cluster (3-to-1 HBM trade ratio)</t>
        </is>
      </c>
      <c r="C37" s="23" t="n"/>
      <c r="D37" s="23" t="n"/>
      <c r="E37" s="23" t="n"/>
      <c r="F37" s="24" t="inlineStr">
        <is>
          <t>• Technology transition risk: HBM4 yield ramp at leading-edge foundry</t>
        </is>
      </c>
      <c r="G37" s="25" t="n"/>
      <c r="H37" s="25" t="n"/>
      <c r="I37" s="25" t="n"/>
    </row>
    <row r="40">
      <c r="B40" s="28" t="inlineStr">
        <is>
          <t>Source: Micron IR, Bloomberg, Company filings, DA Davidson, TD Cowen, Analyst Reports. Generated: 2026-05-11</t>
        </is>
      </c>
    </row>
  </sheetData>
  <mergeCells count="23">
    <mergeCell ref="B37:E37"/>
    <mergeCell ref="B3:I3"/>
    <mergeCell ref="B33:E33"/>
    <mergeCell ref="F37:I37"/>
    <mergeCell ref="B36:E36"/>
    <mergeCell ref="C28:I28"/>
    <mergeCell ref="B26"/>
    <mergeCell ref="B35:E35"/>
    <mergeCell ref="B2:I2"/>
    <mergeCell ref="B25"/>
    <mergeCell ref="F34:I34"/>
    <mergeCell ref="B27"/>
    <mergeCell ref="C26:I26"/>
    <mergeCell ref="C29:I29"/>
    <mergeCell ref="C25:I25"/>
    <mergeCell ref="F33:I33"/>
    <mergeCell ref="F36:I36"/>
    <mergeCell ref="F35:I35"/>
    <mergeCell ref="B29"/>
    <mergeCell ref="B28"/>
    <mergeCell ref="B34:E34"/>
    <mergeCell ref="C27:I27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L29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3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8" customHeight="1"/>
    <row r="2" ht="35" customHeight="1">
      <c r="B2" s="29" t="inlineStr">
        <is>
          <t>REVENUE MODEL — SEGMENT &amp; SCENARIO BUILD</t>
        </is>
      </c>
    </row>
    <row r="4">
      <c r="B4" s="4" t="inlineStr">
        <is>
          <t>Segment / Metric</t>
        </is>
      </c>
      <c r="C4" s="4" t="inlineStr">
        <is>
          <t>FY2021</t>
        </is>
      </c>
      <c r="D4" s="4" t="inlineStr">
        <is>
          <t>FY2022</t>
        </is>
      </c>
      <c r="E4" s="4" t="inlineStr">
        <is>
          <t>FY2023</t>
        </is>
      </c>
      <c r="F4" s="4" t="inlineStr">
        <is>
          <t>FY2024</t>
        </is>
      </c>
      <c r="G4" s="4" t="inlineStr">
        <is>
          <t>FY2025A</t>
        </is>
      </c>
      <c r="H4" s="4" t="inlineStr">
        <is>
          <t>FY2026E</t>
        </is>
      </c>
      <c r="I4" s="4" t="inlineStr">
        <is>
          <t>FY2027E</t>
        </is>
      </c>
      <c r="J4" s="4" t="inlineStr">
        <is>
          <t>FY2028E</t>
        </is>
      </c>
      <c r="K4" s="4" t="inlineStr">
        <is>
          <t>FY2029E</t>
        </is>
      </c>
      <c r="L4" s="4" t="inlineStr">
        <is>
          <t>FY2030E</t>
        </is>
      </c>
    </row>
    <row r="5">
      <c r="B5" s="10" t="inlineStr">
        <is>
          <t>DRAM SEGMENT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 ht="15" customHeight="1">
      <c r="B6" s="5" t="inlineStr">
        <is>
          <t>DRAM Revenue ($M)</t>
        </is>
      </c>
      <c r="C6" s="14" t="n">
        <v>21356</v>
      </c>
      <c r="D6" s="14" t="n">
        <v>24143</v>
      </c>
      <c r="E6" s="14" t="n">
        <v>9841</v>
      </c>
      <c r="F6" s="14" t="n">
        <v>19673</v>
      </c>
      <c r="G6" s="14" t="n">
        <v>29550</v>
      </c>
      <c r="H6" s="14" t="n">
        <v>86200</v>
      </c>
      <c r="I6" s="14" t="n">
        <v>134618</v>
      </c>
      <c r="J6" s="14" t="n">
        <v>127352</v>
      </c>
      <c r="K6" s="14" t="n">
        <v>140087</v>
      </c>
      <c r="L6" s="14" t="n">
        <v>154096</v>
      </c>
    </row>
    <row r="7" ht="15" customHeight="1">
      <c r="B7" s="12" t="inlineStr">
        <is>
          <t xml:space="preserve">  YoY Growth</t>
        </is>
      </c>
      <c r="C7" s="6" t="n"/>
      <c r="D7" s="6" t="inlineStr">
        <is>
          <t>13.0%</t>
        </is>
      </c>
      <c r="E7" s="6" t="inlineStr">
        <is>
          <t>-59.2%</t>
        </is>
      </c>
      <c r="F7" s="6" t="inlineStr">
        <is>
          <t>99.9%</t>
        </is>
      </c>
      <c r="G7" s="6" t="inlineStr">
        <is>
          <t>50.2%</t>
        </is>
      </c>
      <c r="H7" s="6" t="inlineStr">
        <is>
          <t>191.7%</t>
        </is>
      </c>
      <c r="I7" s="6" t="inlineStr">
        <is>
          <t>56.2%</t>
        </is>
      </c>
      <c r="J7" s="6" t="inlineStr">
        <is>
          <t>-5.4%</t>
        </is>
      </c>
      <c r="K7" s="6" t="inlineStr">
        <is>
          <t>10.0%</t>
        </is>
      </c>
      <c r="L7" s="6" t="inlineStr">
        <is>
          <t>10.0%</t>
        </is>
      </c>
    </row>
    <row r="8" ht="15" customHeight="1">
      <c r="B8" s="12" t="inlineStr">
        <is>
          <t xml:space="preserve">  % of Total</t>
        </is>
      </c>
      <c r="C8" s="6" t="inlineStr">
        <is>
          <t>77%</t>
        </is>
      </c>
      <c r="D8" s="6" t="inlineStr">
        <is>
          <t>78%</t>
        </is>
      </c>
      <c r="E8" s="6" t="inlineStr">
        <is>
          <t>63%</t>
        </is>
      </c>
      <c r="F8" s="6" t="inlineStr">
        <is>
          <t>78%</t>
        </is>
      </c>
      <c r="G8" s="6" t="inlineStr">
        <is>
          <t>79%</t>
        </is>
      </c>
      <c r="H8" s="6" t="inlineStr">
        <is>
          <t>79%</t>
        </is>
      </c>
      <c r="I8" s="6" t="inlineStr">
        <is>
          <t>79%</t>
        </is>
      </c>
      <c r="J8" s="6" t="inlineStr">
        <is>
          <t>79%</t>
        </is>
      </c>
      <c r="K8" s="6" t="inlineStr">
        <is>
          <t>79%</t>
        </is>
      </c>
      <c r="L8" s="6" t="inlineStr">
        <is>
          <t>79%</t>
        </is>
      </c>
    </row>
    <row r="9" ht="15" customHeight="1">
      <c r="B9" s="5" t="inlineStr">
        <is>
          <t>HBM Revenue ($M)</t>
        </is>
      </c>
      <c r="C9" s="6" t="n"/>
      <c r="D9" s="6" t="n"/>
      <c r="E9" s="6" t="n"/>
      <c r="F9" s="14" t="n">
        <v>700</v>
      </c>
      <c r="G9" s="14" t="n">
        <v>4000</v>
      </c>
      <c r="H9" s="14" t="n">
        <v>23000</v>
      </c>
      <c r="I9" s="14" t="n">
        <v>53000</v>
      </c>
      <c r="J9" s="14" t="n">
        <v>48000</v>
      </c>
      <c r="K9" s="14" t="n">
        <v>56000</v>
      </c>
      <c r="L9" s="14" t="n">
        <v>62000</v>
      </c>
    </row>
    <row r="10" ht="15" customHeight="1">
      <c r="B10" s="12" t="inlineStr">
        <is>
          <t xml:space="preserve">  HBM % of DRAM</t>
        </is>
      </c>
      <c r="C10" s="6" t="n"/>
      <c r="D10" s="6" t="n"/>
      <c r="E10" s="6" t="n"/>
      <c r="F10" s="6" t="inlineStr">
        <is>
          <t>3.6%</t>
        </is>
      </c>
      <c r="G10" s="6" t="inlineStr">
        <is>
          <t>13.5%</t>
        </is>
      </c>
      <c r="H10" s="6" t="inlineStr">
        <is>
          <t>26.7%</t>
        </is>
      </c>
      <c r="I10" s="6" t="inlineStr">
        <is>
          <t>39.4%</t>
        </is>
      </c>
      <c r="J10" s="6" t="inlineStr">
        <is>
          <t>37.7%</t>
        </is>
      </c>
      <c r="K10" s="6" t="inlineStr">
        <is>
          <t>40.0%</t>
        </is>
      </c>
      <c r="L10" s="6" t="inlineStr">
        <is>
          <t>40.2%</t>
        </is>
      </c>
    </row>
    <row r="11" ht="15" customHeight="1">
      <c r="B11" s="5" t="inlineStr">
        <is>
          <t>Trad. DRAM ($M)</t>
        </is>
      </c>
      <c r="C11" s="6" t="n"/>
      <c r="D11" s="6" t="n"/>
      <c r="E11" s="6" t="n"/>
      <c r="F11" s="6" t="n">
        <v>18973</v>
      </c>
      <c r="G11" s="6" t="n">
        <v>25550</v>
      </c>
      <c r="H11" s="6" t="n">
        <v>63200</v>
      </c>
      <c r="I11" s="6" t="n">
        <v>81618</v>
      </c>
      <c r="J11" s="6" t="n">
        <v>79352</v>
      </c>
      <c r="K11" s="6" t="n">
        <v>84087</v>
      </c>
      <c r="L11" s="6" t="n">
        <v>92096</v>
      </c>
    </row>
    <row r="13">
      <c r="B13" s="10" t="inlineStr">
        <is>
          <t>NAND SEGMENT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 ht="15" customHeight="1">
      <c r="B14" s="5" t="inlineStr">
        <is>
          <t>NAND Revenue ($M)</t>
        </is>
      </c>
      <c r="C14" s="14" t="n">
        <v>5917</v>
      </c>
      <c r="D14" s="14" t="n">
        <v>6300</v>
      </c>
      <c r="E14" s="14" t="n">
        <v>5498</v>
      </c>
      <c r="F14" s="14" t="n">
        <v>5219</v>
      </c>
      <c r="G14" s="14" t="n">
        <v>7578</v>
      </c>
      <c r="H14" s="14" t="n">
        <v>22400</v>
      </c>
      <c r="I14" s="14" t="n">
        <v>35400</v>
      </c>
      <c r="J14" s="14" t="n">
        <v>33000</v>
      </c>
      <c r="K14" s="14" t="n">
        <v>36300</v>
      </c>
      <c r="L14" s="14" t="n">
        <v>39930</v>
      </c>
    </row>
    <row r="15" ht="15" customHeight="1">
      <c r="B15" s="12" t="inlineStr">
        <is>
          <t xml:space="preserve">  YoY Growth</t>
        </is>
      </c>
      <c r="C15" s="6" t="n"/>
      <c r="D15" s="6" t="inlineStr">
        <is>
          <t>6.5%</t>
        </is>
      </c>
      <c r="E15" s="6" t="inlineStr">
        <is>
          <t>-12.7%</t>
        </is>
      </c>
      <c r="F15" s="6" t="inlineStr">
        <is>
          <t>-5.1%</t>
        </is>
      </c>
      <c r="G15" s="6" t="inlineStr">
        <is>
          <t>45.2%</t>
        </is>
      </c>
      <c r="H15" s="6" t="inlineStr">
        <is>
          <t>195.6%</t>
        </is>
      </c>
      <c r="I15" s="6" t="inlineStr">
        <is>
          <t>58.0%</t>
        </is>
      </c>
      <c r="J15" s="6" t="inlineStr">
        <is>
          <t>-6.8%</t>
        </is>
      </c>
      <c r="K15" s="6" t="inlineStr">
        <is>
          <t>10.0%</t>
        </is>
      </c>
      <c r="L15" s="6" t="inlineStr">
        <is>
          <t>10.0%</t>
        </is>
      </c>
    </row>
    <row r="16" ht="15" customHeight="1">
      <c r="B16" s="12" t="inlineStr">
        <is>
          <t xml:space="preserve">  % of Total</t>
        </is>
      </c>
      <c r="C16" s="6" t="inlineStr">
        <is>
          <t>21%</t>
        </is>
      </c>
      <c r="D16" s="6" t="inlineStr">
        <is>
          <t>20%</t>
        </is>
      </c>
      <c r="E16" s="6" t="inlineStr">
        <is>
          <t>35%</t>
        </is>
      </c>
      <c r="F16" s="6" t="inlineStr">
        <is>
          <t>21%</t>
        </is>
      </c>
      <c r="G16" s="6" t="inlineStr">
        <is>
          <t>20%</t>
        </is>
      </c>
      <c r="H16" s="6" t="inlineStr">
        <is>
          <t>20%</t>
        </is>
      </c>
      <c r="I16" s="6" t="inlineStr">
        <is>
          <t>21%</t>
        </is>
      </c>
      <c r="J16" s="6" t="inlineStr">
        <is>
          <t>20%</t>
        </is>
      </c>
      <c r="K16" s="6" t="inlineStr">
        <is>
          <t>20%</t>
        </is>
      </c>
      <c r="L16" s="6" t="inlineStr">
        <is>
          <t>20%</t>
        </is>
      </c>
    </row>
    <row r="18" ht="15" customHeight="1">
      <c r="B18" s="12" t="inlineStr">
        <is>
          <t>Other / NOR Revenue ($M)</t>
        </is>
      </c>
      <c r="C18" s="14" t="n">
        <v>432</v>
      </c>
      <c r="D18" s="14" t="n">
        <v>315</v>
      </c>
      <c r="E18" s="14" t="n">
        <v>201</v>
      </c>
      <c r="F18" s="14" t="n">
        <v>219</v>
      </c>
      <c r="G18" s="14" t="n">
        <v>250</v>
      </c>
      <c r="H18" s="14" t="n">
        <v>686</v>
      </c>
      <c r="I18" s="14" t="n">
        <v>639</v>
      </c>
      <c r="J18" s="14" t="n">
        <v>982</v>
      </c>
      <c r="K18" s="14" t="n">
        <v>1080</v>
      </c>
      <c r="L18" s="14" t="n">
        <v>1188</v>
      </c>
    </row>
    <row r="20">
      <c r="B20" s="10" t="inlineStr">
        <is>
          <t>TOTAL REVENUE &amp; SCENARIOS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>
      <c r="B21" s="30" t="inlineStr">
        <is>
          <t>Total Revenue ($M)</t>
        </is>
      </c>
      <c r="C21" s="31" t="n">
        <v>27705</v>
      </c>
      <c r="D21" s="31" t="n">
        <v>30758</v>
      </c>
      <c r="E21" s="31" t="n">
        <v>15540</v>
      </c>
      <c r="F21" s="31" t="n">
        <v>25111</v>
      </c>
      <c r="G21" s="31" t="n">
        <v>37378</v>
      </c>
      <c r="H21" s="31" t="n">
        <v>109286</v>
      </c>
      <c r="I21" s="31" t="n">
        <v>170657</v>
      </c>
      <c r="J21" s="31" t="n">
        <v>161334</v>
      </c>
      <c r="K21" s="31" t="n">
        <v>177467</v>
      </c>
      <c r="L21" s="31" t="n">
        <v>195214</v>
      </c>
    </row>
    <row r="22" ht="15" customHeight="1">
      <c r="B22" s="12" t="inlineStr">
        <is>
          <t xml:space="preserve">  YoY Growth</t>
        </is>
      </c>
      <c r="C22" s="6" t="n"/>
      <c r="D22" s="6" t="inlineStr">
        <is>
          <t>11.0%</t>
        </is>
      </c>
      <c r="E22" s="6" t="inlineStr">
        <is>
          <t>-49.5%</t>
        </is>
      </c>
      <c r="F22" s="6" t="inlineStr">
        <is>
          <t>61.6%</t>
        </is>
      </c>
      <c r="G22" s="6" t="inlineStr">
        <is>
          <t>48.9%</t>
        </is>
      </c>
      <c r="H22" s="6" t="inlineStr">
        <is>
          <t>192.4%</t>
        </is>
      </c>
      <c r="I22" s="6" t="inlineStr">
        <is>
          <t>56.2%</t>
        </is>
      </c>
      <c r="J22" s="6" t="inlineStr">
        <is>
          <t>-5.5%</t>
        </is>
      </c>
      <c r="K22" s="6" t="inlineStr">
        <is>
          <t>10.0%</t>
        </is>
      </c>
      <c r="L22" s="6" t="inlineStr">
        <is>
          <t>10.0%</t>
        </is>
      </c>
    </row>
    <row r="24" ht="16" customHeight="1">
      <c r="B24" s="32" t="inlineStr">
        <is>
          <t>Bull Case Revenue ($M)</t>
        </is>
      </c>
      <c r="C24" s="14" t="n">
        <v>27705</v>
      </c>
      <c r="D24" s="14" t="n">
        <v>30758</v>
      </c>
      <c r="E24" s="14" t="n">
        <v>15540</v>
      </c>
      <c r="F24" s="14" t="n">
        <v>25111</v>
      </c>
      <c r="G24" s="14" t="n">
        <v>37378</v>
      </c>
      <c r="H24" s="33" t="n">
        <v>115000</v>
      </c>
      <c r="I24" s="33" t="n">
        <v>185000</v>
      </c>
      <c r="J24" s="33" t="n">
        <v>180000</v>
      </c>
      <c r="K24" s="33" t="n">
        <v>198000</v>
      </c>
      <c r="L24" s="33" t="n">
        <v>217800</v>
      </c>
    </row>
    <row r="25" ht="16" customHeight="1">
      <c r="B25" s="34" t="inlineStr">
        <is>
          <t>Base Case Revenue ($M)</t>
        </is>
      </c>
      <c r="C25" s="14" t="n">
        <v>27705</v>
      </c>
      <c r="D25" s="14" t="n">
        <v>30758</v>
      </c>
      <c r="E25" s="14" t="n">
        <v>15540</v>
      </c>
      <c r="F25" s="14" t="n">
        <v>25111</v>
      </c>
      <c r="G25" s="14" t="n">
        <v>37378</v>
      </c>
      <c r="H25" s="35" t="n">
        <v>109286</v>
      </c>
      <c r="I25" s="35" t="n">
        <v>170657</v>
      </c>
      <c r="J25" s="35" t="n">
        <v>161334</v>
      </c>
      <c r="K25" s="35" t="n">
        <v>177467</v>
      </c>
      <c r="L25" s="35" t="n">
        <v>195214</v>
      </c>
    </row>
    <row r="26" ht="16" customHeight="1">
      <c r="B26" s="36" t="inlineStr">
        <is>
          <t>Bear Case Revenue ($M)</t>
        </is>
      </c>
      <c r="C26" s="14" t="n">
        <v>27705</v>
      </c>
      <c r="D26" s="14" t="n">
        <v>30758</v>
      </c>
      <c r="E26" s="14" t="n">
        <v>15540</v>
      </c>
      <c r="F26" s="14" t="n">
        <v>25111</v>
      </c>
      <c r="G26" s="14" t="n">
        <v>37378</v>
      </c>
      <c r="H26" s="37" t="n">
        <v>95000</v>
      </c>
      <c r="I26" s="37" t="n">
        <v>130000</v>
      </c>
      <c r="J26" s="37" t="n">
        <v>120000</v>
      </c>
      <c r="K26" s="37" t="n">
        <v>130000</v>
      </c>
      <c r="L26" s="37" t="n">
        <v>143000</v>
      </c>
    </row>
    <row r="29">
      <c r="B29" s="28" t="inlineStr">
        <is>
          <t>Source: Micron Technology IR, TrendForce, S&amp;P Global, company guidance, analyst estimates. Revenue in USD millions.</t>
        </is>
      </c>
    </row>
  </sheetData>
  <mergeCells count="1">
    <mergeCell ref="B2:L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L37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3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8" customHeight="1"/>
    <row r="2" ht="35" customHeight="1">
      <c r="B2" s="29" t="inlineStr">
        <is>
          <t>INCOME STATEMENT — HISTORICAL (FY2021–FY2025A) &amp; PROJECTED (FY2026E–FY2030E)</t>
        </is>
      </c>
    </row>
    <row r="4">
      <c r="B4" s="4" t="inlineStr">
        <is>
          <t>(USD millions, except EPS)</t>
        </is>
      </c>
      <c r="C4" s="4" t="inlineStr">
        <is>
          <t>FY2021</t>
        </is>
      </c>
      <c r="D4" s="4" t="inlineStr">
        <is>
          <t>FY2022</t>
        </is>
      </c>
      <c r="E4" s="4" t="inlineStr">
        <is>
          <t>FY2023</t>
        </is>
      </c>
      <c r="F4" s="4" t="inlineStr">
        <is>
          <t>FY2024</t>
        </is>
      </c>
      <c r="G4" s="4" t="inlineStr">
        <is>
          <t>FY2025A</t>
        </is>
      </c>
      <c r="H4" s="4" t="inlineStr">
        <is>
          <t>FY2026E</t>
        </is>
      </c>
      <c r="I4" s="4" t="inlineStr">
        <is>
          <t>FY2027E</t>
        </is>
      </c>
      <c r="J4" s="4" t="inlineStr">
        <is>
          <t>FY2028E</t>
        </is>
      </c>
      <c r="K4" s="4" t="inlineStr">
        <is>
          <t>FY2029E</t>
        </is>
      </c>
      <c r="L4" s="4" t="inlineStr">
        <is>
          <t>FY2030E</t>
        </is>
      </c>
    </row>
    <row r="5" ht="15" customHeight="1">
      <c r="B5" s="34" t="inlineStr">
        <is>
          <t>Revenue</t>
        </is>
      </c>
      <c r="C5" s="38" t="n">
        <v>27705</v>
      </c>
      <c r="D5" s="38" t="n">
        <v>30758</v>
      </c>
      <c r="E5" s="38" t="n">
        <v>15540</v>
      </c>
      <c r="F5" s="38" t="n">
        <v>25111</v>
      </c>
      <c r="G5" s="38" t="n">
        <v>37378</v>
      </c>
      <c r="H5" s="39" t="n">
        <v>109286</v>
      </c>
      <c r="I5" s="39" t="n">
        <v>170657</v>
      </c>
      <c r="J5" s="39" t="n">
        <v>161334</v>
      </c>
      <c r="K5" s="39" t="n">
        <v>177467</v>
      </c>
      <c r="L5" s="39" t="n">
        <v>195214</v>
      </c>
    </row>
    <row r="6" ht="15" customHeight="1">
      <c r="B6" s="12" t="inlineStr">
        <is>
          <t xml:space="preserve">  YoY Growth</t>
        </is>
      </c>
      <c r="C6" s="6" t="n"/>
      <c r="D6" s="6" t="inlineStr">
        <is>
          <t>11.0%</t>
        </is>
      </c>
      <c r="E6" s="6" t="inlineStr">
        <is>
          <t>-49.5%</t>
        </is>
      </c>
      <c r="F6" s="6" t="inlineStr">
        <is>
          <t>61.6%</t>
        </is>
      </c>
      <c r="G6" s="6" t="inlineStr">
        <is>
          <t>48.9%</t>
        </is>
      </c>
      <c r="H6" s="6" t="inlineStr">
        <is>
          <t>192.4%</t>
        </is>
      </c>
      <c r="I6" s="6" t="inlineStr">
        <is>
          <t>56.2%</t>
        </is>
      </c>
      <c r="J6" s="6" t="inlineStr">
        <is>
          <t>-5.5%</t>
        </is>
      </c>
      <c r="K6" s="6" t="inlineStr">
        <is>
          <t>10.0%</t>
        </is>
      </c>
      <c r="L6" s="6" t="inlineStr">
        <is>
          <t>10.0%</t>
        </is>
      </c>
    </row>
    <row r="7" ht="15" customHeight="1">
      <c r="B7" s="12" t="inlineStr">
        <is>
          <t>Cost of Revenue</t>
        </is>
      </c>
      <c r="C7" s="14" t="n">
        <v>17282</v>
      </c>
      <c r="D7" s="14" t="n">
        <v>16860</v>
      </c>
      <c r="E7" s="14" t="n">
        <v>16956</v>
      </c>
      <c r="F7" s="14" t="n">
        <v>19498</v>
      </c>
      <c r="G7" s="14" t="n">
        <v>22505</v>
      </c>
      <c r="H7" s="11" t="n">
        <v>20436</v>
      </c>
      <c r="I7" s="11" t="n">
        <v>25000</v>
      </c>
      <c r="J7" s="11" t="n">
        <v>30654</v>
      </c>
      <c r="K7" s="11" t="n">
        <v>33720</v>
      </c>
      <c r="L7" s="11" t="n">
        <v>37091</v>
      </c>
    </row>
    <row r="8" ht="15" customHeight="1">
      <c r="B8" s="34" t="inlineStr">
        <is>
          <t>Gross Profit</t>
        </is>
      </c>
      <c r="C8" s="38" t="n">
        <v>10423</v>
      </c>
      <c r="D8" s="38" t="n">
        <v>13898</v>
      </c>
      <c r="E8" s="38" t="n">
        <v>-1416</v>
      </c>
      <c r="F8" s="38" t="n">
        <v>5613</v>
      </c>
      <c r="G8" s="38" t="n">
        <v>14873</v>
      </c>
      <c r="H8" s="39" t="n">
        <v>88850</v>
      </c>
      <c r="I8" s="39" t="n">
        <v>145657</v>
      </c>
      <c r="J8" s="39" t="n">
        <v>130680</v>
      </c>
      <c r="K8" s="39" t="n">
        <v>143747</v>
      </c>
      <c r="L8" s="39" t="n">
        <v>158123</v>
      </c>
    </row>
    <row r="9" ht="15" customHeight="1">
      <c r="B9" s="12" t="inlineStr">
        <is>
          <t xml:space="preserve">  Gross Margin %</t>
        </is>
      </c>
      <c r="C9" s="6" t="inlineStr">
        <is>
          <t>37.6%</t>
        </is>
      </c>
      <c r="D9" s="6" t="inlineStr">
        <is>
          <t>45.2%</t>
        </is>
      </c>
      <c r="E9" s="6" t="inlineStr">
        <is>
          <t>-9.1%</t>
        </is>
      </c>
      <c r="F9" s="6" t="inlineStr">
        <is>
          <t>22.4%</t>
        </is>
      </c>
      <c r="G9" s="6" t="inlineStr">
        <is>
          <t>39.8%</t>
        </is>
      </c>
      <c r="H9" s="6" t="inlineStr">
        <is>
          <t>81.3%</t>
        </is>
      </c>
      <c r="I9" s="6" t="inlineStr">
        <is>
          <t>85.4%</t>
        </is>
      </c>
      <c r="J9" s="6" t="inlineStr">
        <is>
          <t>81.0%</t>
        </is>
      </c>
      <c r="K9" s="6" t="inlineStr">
        <is>
          <t>81.0%</t>
        </is>
      </c>
      <c r="L9" s="6" t="inlineStr">
        <is>
          <t>81.0%</t>
        </is>
      </c>
    </row>
    <row r="10" ht="15" customHeight="1"/>
    <row r="11" ht="15" customHeight="1">
      <c r="B11" s="12" t="inlineStr">
        <is>
          <t>R&amp;D Expenses</t>
        </is>
      </c>
      <c r="C11" s="14" t="n">
        <v>2663</v>
      </c>
      <c r="D11" s="14" t="n">
        <v>3116</v>
      </c>
      <c r="E11" s="14" t="n">
        <v>3114</v>
      </c>
      <c r="F11" s="14" t="n">
        <v>3430</v>
      </c>
      <c r="G11" s="14" t="n">
        <v>3798</v>
      </c>
      <c r="H11" s="11" t="n">
        <v>4500</v>
      </c>
      <c r="I11" s="11" t="n">
        <v>5500</v>
      </c>
      <c r="J11" s="11" t="n">
        <v>5300</v>
      </c>
      <c r="K11" s="11" t="n">
        <v>5500</v>
      </c>
      <c r="L11" s="11" t="n">
        <v>5750</v>
      </c>
    </row>
    <row r="12" ht="15" customHeight="1">
      <c r="B12" s="12" t="inlineStr">
        <is>
          <t xml:space="preserve">  R&amp;D % of Revenue</t>
        </is>
      </c>
      <c r="C12" s="6" t="inlineStr">
        <is>
          <t>9.6%</t>
        </is>
      </c>
      <c r="D12" s="6" t="inlineStr">
        <is>
          <t>10.1%</t>
        </is>
      </c>
      <c r="E12" s="6" t="inlineStr">
        <is>
          <t>20.0%</t>
        </is>
      </c>
      <c r="F12" s="6" t="inlineStr">
        <is>
          <t>13.7%</t>
        </is>
      </c>
      <c r="G12" s="6" t="inlineStr">
        <is>
          <t>10.2%</t>
        </is>
      </c>
      <c r="H12" s="6" t="inlineStr">
        <is>
          <t>4.1%</t>
        </is>
      </c>
      <c r="I12" s="6" t="inlineStr">
        <is>
          <t>3.2%</t>
        </is>
      </c>
      <c r="J12" s="6" t="inlineStr">
        <is>
          <t>3.3%</t>
        </is>
      </c>
      <c r="K12" s="6" t="inlineStr">
        <is>
          <t>3.1%</t>
        </is>
      </c>
      <c r="L12" s="6" t="inlineStr">
        <is>
          <t>2.9%</t>
        </is>
      </c>
    </row>
    <row r="13" ht="15" customHeight="1">
      <c r="B13" s="12" t="inlineStr">
        <is>
          <t>SG&amp;A Expenses</t>
        </is>
      </c>
      <c r="C13" s="14" t="n">
        <v>894</v>
      </c>
      <c r="D13" s="14" t="n">
        <v>1066</v>
      </c>
      <c r="E13" s="14" t="n">
        <v>920</v>
      </c>
      <c r="F13" s="14" t="n">
        <v>1129</v>
      </c>
      <c r="G13" s="14" t="n">
        <v>1205</v>
      </c>
      <c r="H13" s="11" t="n">
        <v>1400</v>
      </c>
      <c r="I13" s="11" t="n">
        <v>1700</v>
      </c>
      <c r="J13" s="11" t="n">
        <v>1650</v>
      </c>
      <c r="K13" s="11" t="n">
        <v>1700</v>
      </c>
      <c r="L13" s="11" t="n">
        <v>1800</v>
      </c>
    </row>
    <row r="14" ht="15" customHeight="1">
      <c r="B14" s="12" t="inlineStr">
        <is>
          <t xml:space="preserve">  SG&amp;A % of Revenue</t>
        </is>
      </c>
      <c r="C14" s="6" t="inlineStr">
        <is>
          <t>3.2%</t>
        </is>
      </c>
      <c r="D14" s="6" t="inlineStr">
        <is>
          <t>3.5%</t>
        </is>
      </c>
      <c r="E14" s="6" t="inlineStr">
        <is>
          <t>5.9%</t>
        </is>
      </c>
      <c r="F14" s="6" t="inlineStr">
        <is>
          <t>4.5%</t>
        </is>
      </c>
      <c r="G14" s="6" t="inlineStr">
        <is>
          <t>3.2%</t>
        </is>
      </c>
      <c r="H14" s="6" t="inlineStr">
        <is>
          <t>1.3%</t>
        </is>
      </c>
      <c r="I14" s="6" t="inlineStr">
        <is>
          <t>1.0%</t>
        </is>
      </c>
      <c r="J14" s="6" t="inlineStr">
        <is>
          <t>1.0%</t>
        </is>
      </c>
      <c r="K14" s="6" t="inlineStr">
        <is>
          <t>1.0%</t>
        </is>
      </c>
      <c r="L14" s="6" t="inlineStr">
        <is>
          <t>0.9%</t>
        </is>
      </c>
    </row>
    <row r="15" ht="15" customHeight="1">
      <c r="B15" s="12" t="inlineStr">
        <is>
          <t>Total OpEx (below GP)</t>
        </is>
      </c>
      <c r="C15" s="14" t="n">
        <v>4140</v>
      </c>
      <c r="D15" s="14" t="n">
        <v>4196</v>
      </c>
      <c r="E15" s="14" t="n">
        <v>4329</v>
      </c>
      <c r="F15" s="14" t="n">
        <v>4309</v>
      </c>
      <c r="G15" s="14" t="n">
        <v>5103</v>
      </c>
      <c r="H15" s="11" t="n">
        <v>5900</v>
      </c>
      <c r="I15" s="11" t="n">
        <v>7200</v>
      </c>
      <c r="J15" s="11" t="n">
        <v>6950</v>
      </c>
      <c r="K15" s="11" t="n">
        <v>7200</v>
      </c>
      <c r="L15" s="11" t="n">
        <v>7550</v>
      </c>
    </row>
    <row r="16" ht="15" customHeight="1">
      <c r="B16" s="34" t="inlineStr">
        <is>
          <t>EBIT (Operating Income)</t>
        </is>
      </c>
      <c r="C16" s="38" t="n">
        <v>6283</v>
      </c>
      <c r="D16" s="38" t="n">
        <v>9702</v>
      </c>
      <c r="E16" s="38" t="n">
        <v>-5745</v>
      </c>
      <c r="F16" s="38" t="n">
        <v>1304</v>
      </c>
      <c r="G16" s="38" t="n">
        <v>9770</v>
      </c>
      <c r="H16" s="39" t="n">
        <v>82950</v>
      </c>
      <c r="I16" s="39" t="n">
        <v>138457</v>
      </c>
      <c r="J16" s="39" t="n">
        <v>123730</v>
      </c>
      <c r="K16" s="39" t="n">
        <v>136547</v>
      </c>
      <c r="L16" s="39" t="n">
        <v>150573</v>
      </c>
    </row>
    <row r="17" ht="15" customHeight="1">
      <c r="B17" s="12" t="inlineStr">
        <is>
          <t xml:space="preserve">  EBIT Margin %</t>
        </is>
      </c>
      <c r="C17" s="6" t="inlineStr">
        <is>
          <t>22.7%</t>
        </is>
      </c>
      <c r="D17" s="6" t="inlineStr">
        <is>
          <t>31.5%</t>
        </is>
      </c>
      <c r="E17" s="6" t="inlineStr">
        <is>
          <t>-37.0%</t>
        </is>
      </c>
      <c r="F17" s="6" t="inlineStr">
        <is>
          <t>5.2%</t>
        </is>
      </c>
      <c r="G17" s="6" t="inlineStr">
        <is>
          <t>26.1%</t>
        </is>
      </c>
      <c r="H17" s="6" t="inlineStr">
        <is>
          <t>75.9%</t>
        </is>
      </c>
      <c r="I17" s="6" t="inlineStr">
        <is>
          <t>81.1%</t>
        </is>
      </c>
      <c r="J17" s="6" t="inlineStr">
        <is>
          <t>76.7%</t>
        </is>
      </c>
      <c r="K17" s="6" t="inlineStr">
        <is>
          <t>76.9%</t>
        </is>
      </c>
      <c r="L17" s="6" t="inlineStr">
        <is>
          <t>77.1%</t>
        </is>
      </c>
    </row>
    <row r="18" ht="15" customHeight="1"/>
    <row r="19" ht="15" customHeight="1">
      <c r="B19" s="12" t="inlineStr">
        <is>
          <t>D&amp;A</t>
        </is>
      </c>
      <c r="C19" s="14" t="n">
        <v>5314</v>
      </c>
      <c r="D19" s="14" t="n">
        <v>6616</v>
      </c>
      <c r="E19" s="14" t="n">
        <v>7756</v>
      </c>
      <c r="F19" s="14" t="n">
        <v>7780</v>
      </c>
      <c r="G19" s="14" t="n">
        <v>8352</v>
      </c>
      <c r="H19" s="11" t="n">
        <v>12000</v>
      </c>
      <c r="I19" s="11" t="n">
        <v>14500</v>
      </c>
      <c r="J19" s="11" t="n">
        <v>15000</v>
      </c>
      <c r="K19" s="11" t="n">
        <v>15500</v>
      </c>
      <c r="L19" s="11" t="n">
        <v>16000</v>
      </c>
    </row>
    <row r="20" ht="15" customHeight="1">
      <c r="B20" s="34" t="inlineStr">
        <is>
          <t>Adj. EBITDA</t>
        </is>
      </c>
      <c r="C20" s="38" t="n">
        <v>12497</v>
      </c>
      <c r="D20" s="38" t="n">
        <v>16818</v>
      </c>
      <c r="E20" s="38" t="n">
        <v>2011</v>
      </c>
      <c r="F20" s="38" t="n">
        <v>9084</v>
      </c>
      <c r="G20" s="38" t="n">
        <v>18122</v>
      </c>
      <c r="H20" s="39" t="n">
        <v>88900</v>
      </c>
      <c r="I20" s="39" t="n">
        <v>145535</v>
      </c>
      <c r="J20" s="39" t="n">
        <v>130533</v>
      </c>
      <c r="K20" s="39" t="n">
        <v>143606</v>
      </c>
      <c r="L20" s="39" t="n">
        <v>157992</v>
      </c>
    </row>
    <row r="21" ht="15" customHeight="1">
      <c r="B21" s="12" t="inlineStr">
        <is>
          <t xml:space="preserve">  Adj. EBITDA Margin %</t>
        </is>
      </c>
      <c r="C21" s="6" t="inlineStr">
        <is>
          <t>45.1%</t>
        </is>
      </c>
      <c r="D21" s="6" t="inlineStr">
        <is>
          <t>54.7%</t>
        </is>
      </c>
      <c r="E21" s="6" t="inlineStr">
        <is>
          <t>12.9%</t>
        </is>
      </c>
      <c r="F21" s="6" t="inlineStr">
        <is>
          <t>36.2%</t>
        </is>
      </c>
      <c r="G21" s="6" t="inlineStr">
        <is>
          <t>48.5%</t>
        </is>
      </c>
      <c r="H21" s="6" t="inlineStr">
        <is>
          <t>81.3%</t>
        </is>
      </c>
      <c r="I21" s="6" t="inlineStr">
        <is>
          <t>85.3%</t>
        </is>
      </c>
      <c r="J21" s="6" t="inlineStr">
        <is>
          <t>80.9%</t>
        </is>
      </c>
      <c r="K21" s="6" t="inlineStr">
        <is>
          <t>80.9%</t>
        </is>
      </c>
      <c r="L21" s="6" t="inlineStr">
        <is>
          <t>80.9%</t>
        </is>
      </c>
    </row>
    <row r="22" ht="15" customHeight="1"/>
    <row r="23" ht="15" customHeight="1">
      <c r="B23" s="12" t="inlineStr">
        <is>
          <t>Interest Income</t>
        </is>
      </c>
      <c r="C23" s="14" t="n">
        <v>37</v>
      </c>
      <c r="D23" s="14" t="n">
        <v>96</v>
      </c>
      <c r="E23" s="14" t="n">
        <v>468</v>
      </c>
      <c r="F23" s="14" t="n">
        <v>529</v>
      </c>
      <c r="G23" s="14" t="n">
        <v>496</v>
      </c>
      <c r="H23" s="11" t="n">
        <v>600</v>
      </c>
      <c r="I23" s="11" t="n">
        <v>900</v>
      </c>
      <c r="J23" s="11" t="n">
        <v>850</v>
      </c>
      <c r="K23" s="11" t="n">
        <v>900</v>
      </c>
      <c r="L23" s="11" t="n">
        <v>950</v>
      </c>
    </row>
    <row r="24" ht="15" customHeight="1">
      <c r="B24" s="12" t="inlineStr">
        <is>
          <t>Interest Expense</t>
        </is>
      </c>
      <c r="C24" s="14" t="n">
        <v>-183</v>
      </c>
      <c r="D24" s="14" t="n">
        <v>-189</v>
      </c>
      <c r="E24" s="14" t="n">
        <v>-388</v>
      </c>
      <c r="F24" s="14" t="n">
        <v>-562</v>
      </c>
      <c r="G24" s="14" t="n">
        <v>-477</v>
      </c>
      <c r="H24" s="11" t="n">
        <v>-400</v>
      </c>
      <c r="I24" s="11" t="n">
        <v>-380</v>
      </c>
      <c r="J24" s="11" t="n">
        <v>-360</v>
      </c>
      <c r="K24" s="11" t="n">
        <v>-340</v>
      </c>
      <c r="L24" s="11" t="n">
        <v>-320</v>
      </c>
    </row>
    <row r="25" ht="15" customHeight="1">
      <c r="B25" s="12" t="inlineStr">
        <is>
          <t>Other Non-Op. Income</t>
        </is>
      </c>
      <c r="C25" s="14" t="n">
        <v>81</v>
      </c>
      <c r="D25" s="14" t="n">
        <v>-38</v>
      </c>
      <c r="E25" s="14" t="n">
        <v>7</v>
      </c>
      <c r="F25" s="14" t="n">
        <v>-31</v>
      </c>
      <c r="G25" s="14" t="n">
        <v>-135</v>
      </c>
      <c r="H25" s="11" t="n">
        <v>-100</v>
      </c>
      <c r="I25" s="11" t="n">
        <v>-80</v>
      </c>
      <c r="J25" s="11" t="n">
        <v>-80</v>
      </c>
      <c r="K25" s="11" t="n">
        <v>-80</v>
      </c>
      <c r="L25" s="11" t="n">
        <v>-80</v>
      </c>
    </row>
    <row r="26" ht="15" customHeight="1">
      <c r="B26" s="12" t="inlineStr">
        <is>
          <t>Pretax Income</t>
        </is>
      </c>
      <c r="C26" s="14" t="n">
        <v>6218</v>
      </c>
      <c r="D26" s="14" t="n">
        <v>9571</v>
      </c>
      <c r="E26" s="14" t="n">
        <v>-5658</v>
      </c>
      <c r="F26" s="14" t="n">
        <v>1240</v>
      </c>
      <c r="G26" s="14" t="n">
        <v>9654</v>
      </c>
      <c r="H26" s="11" t="n">
        <v>83050</v>
      </c>
      <c r="I26" s="11" t="n">
        <v>138897</v>
      </c>
      <c r="J26" s="11" t="n">
        <v>124140</v>
      </c>
      <c r="K26" s="11" t="n">
        <v>137027</v>
      </c>
      <c r="L26" s="11" t="n">
        <v>151123</v>
      </c>
    </row>
    <row r="27" ht="15" customHeight="1">
      <c r="B27" s="12" t="inlineStr">
        <is>
          <t>Provision for Income Tax</t>
        </is>
      </c>
      <c r="C27" s="14" t="n">
        <v>394</v>
      </c>
      <c r="D27" s="14" t="n">
        <v>888</v>
      </c>
      <c r="E27" s="14" t="n">
        <v>177</v>
      </c>
      <c r="F27" s="14" t="n">
        <v>451</v>
      </c>
      <c r="G27" s="14" t="n">
        <v>1124</v>
      </c>
      <c r="H27" s="11" t="n">
        <v>12872</v>
      </c>
      <c r="I27" s="11" t="n">
        <v>21528</v>
      </c>
      <c r="J27" s="11" t="n">
        <v>19241</v>
      </c>
      <c r="K27" s="11" t="n">
        <v>21239</v>
      </c>
      <c r="L27" s="11" t="n">
        <v>23424</v>
      </c>
    </row>
    <row r="28" ht="15" customHeight="1">
      <c r="B28" s="12" t="inlineStr">
        <is>
          <t xml:space="preserve">  Effective Tax Rate</t>
        </is>
      </c>
      <c r="C28" s="6" t="inlineStr">
        <is>
          <t>6.3%</t>
        </is>
      </c>
      <c r="D28" s="6" t="inlineStr">
        <is>
          <t>9.3%</t>
        </is>
      </c>
      <c r="E28" s="6" t="inlineStr">
        <is>
          <t>-3.1%</t>
        </is>
      </c>
      <c r="F28" s="6" t="inlineStr">
        <is>
          <t>36.4%</t>
        </is>
      </c>
      <c r="G28" s="6" t="inlineStr">
        <is>
          <t>11.6%</t>
        </is>
      </c>
      <c r="H28" s="6" t="inlineStr">
        <is>
          <t>15.5%</t>
        </is>
      </c>
      <c r="I28" s="6" t="inlineStr">
        <is>
          <t>15.5%</t>
        </is>
      </c>
      <c r="J28" s="6" t="inlineStr">
        <is>
          <t>15.5%</t>
        </is>
      </c>
      <c r="K28" s="6" t="inlineStr">
        <is>
          <t>15.5%</t>
        </is>
      </c>
      <c r="L28" s="6" t="inlineStr">
        <is>
          <t>15.5%</t>
        </is>
      </c>
    </row>
    <row r="29" ht="15" customHeight="1">
      <c r="B29" s="34" t="inlineStr">
        <is>
          <t>Net Income</t>
        </is>
      </c>
      <c r="C29" s="38" t="n">
        <v>5861</v>
      </c>
      <c r="D29" s="38" t="n">
        <v>8687</v>
      </c>
      <c r="E29" s="38" t="n">
        <v>-5833</v>
      </c>
      <c r="F29" s="38" t="n">
        <v>778</v>
      </c>
      <c r="G29" s="38" t="n">
        <v>8539</v>
      </c>
      <c r="H29" s="39" t="n">
        <v>66055</v>
      </c>
      <c r="I29" s="39" t="n">
        <v>108588</v>
      </c>
      <c r="J29" s="39" t="n">
        <v>91564</v>
      </c>
      <c r="K29" s="39" t="n">
        <v>103000</v>
      </c>
      <c r="L29" s="39" t="n">
        <v>113000</v>
      </c>
    </row>
    <row r="30" ht="15" customHeight="1">
      <c r="B30" s="12" t="inlineStr">
        <is>
          <t xml:space="preserve">  Net Margin %</t>
        </is>
      </c>
      <c r="C30" s="6" t="inlineStr">
        <is>
          <t>21.2%</t>
        </is>
      </c>
      <c r="D30" s="6" t="inlineStr">
        <is>
          <t>28.2%</t>
        </is>
      </c>
      <c r="E30" s="6" t="inlineStr">
        <is>
          <t>-37.5%</t>
        </is>
      </c>
      <c r="F30" s="6" t="inlineStr">
        <is>
          <t>3.1%</t>
        </is>
      </c>
      <c r="G30" s="6" t="inlineStr">
        <is>
          <t>22.8%</t>
        </is>
      </c>
      <c r="H30" s="6" t="inlineStr">
        <is>
          <t>60.4%</t>
        </is>
      </c>
      <c r="I30" s="6" t="inlineStr">
        <is>
          <t>63.6%</t>
        </is>
      </c>
      <c r="J30" s="6" t="inlineStr">
        <is>
          <t>56.8%</t>
        </is>
      </c>
      <c r="K30" s="6" t="inlineStr">
        <is>
          <t>58.0%</t>
        </is>
      </c>
      <c r="L30" s="6" t="inlineStr">
        <is>
          <t>57.9%</t>
        </is>
      </c>
    </row>
    <row r="31" ht="15" customHeight="1"/>
    <row r="32" ht="15" customHeight="1">
      <c r="B32" s="12" t="inlineStr">
        <is>
          <t>Diluted Shares (M)</t>
        </is>
      </c>
      <c r="C32" s="14" t="n">
        <v>1034</v>
      </c>
      <c r="D32" s="14" t="n">
        <v>1038</v>
      </c>
      <c r="E32" s="14" t="n">
        <v>1093</v>
      </c>
      <c r="F32" s="14" t="n">
        <v>1118</v>
      </c>
      <c r="G32" s="14" t="n">
        <v>1125</v>
      </c>
      <c r="H32" s="11" t="n">
        <v>1120</v>
      </c>
      <c r="I32" s="11" t="n">
        <v>1100</v>
      </c>
      <c r="J32" s="11" t="n">
        <v>1080</v>
      </c>
      <c r="K32" s="11" t="n">
        <v>1060</v>
      </c>
      <c r="L32" s="11" t="n">
        <v>1040</v>
      </c>
    </row>
    <row r="33" ht="15" customHeight="1">
      <c r="B33" s="34" t="inlineStr">
        <is>
          <t>GAAP Diluted EPS</t>
        </is>
      </c>
      <c r="C33" s="40" t="n">
        <v>5.66</v>
      </c>
      <c r="D33" s="40" t="n">
        <v>8.35</v>
      </c>
      <c r="E33" s="40" t="n">
        <v>-5.34</v>
      </c>
      <c r="F33" s="40" t="n">
        <v>0.7</v>
      </c>
      <c r="G33" s="40" t="n">
        <v>7.59</v>
      </c>
      <c r="H33" s="41" t="n">
        <v>58.98</v>
      </c>
      <c r="I33" s="41" t="n">
        <v>98.72</v>
      </c>
      <c r="J33" s="41" t="n">
        <v>84.78</v>
      </c>
      <c r="K33" s="41" t="n">
        <v>97.17</v>
      </c>
      <c r="L33" s="41" t="n">
        <v>108.65</v>
      </c>
    </row>
    <row r="34" ht="15" customHeight="1">
      <c r="B34" s="12" t="inlineStr">
        <is>
          <t>Adj. Diluted EPS</t>
        </is>
      </c>
      <c r="C34" s="42" t="n">
        <v>6.06</v>
      </c>
      <c r="D34" s="42" t="n">
        <v>8.35</v>
      </c>
      <c r="E34" s="42" t="n">
        <v>-4.45</v>
      </c>
      <c r="F34" s="42" t="n">
        <v>1.3</v>
      </c>
      <c r="G34" s="42" t="n">
        <v>8.289999999999999</v>
      </c>
      <c r="H34" s="15" t="n">
        <v>68.59999999999999</v>
      </c>
      <c r="I34" s="15" t="n">
        <v>136.24</v>
      </c>
      <c r="J34" s="15" t="n">
        <v>153.42</v>
      </c>
      <c r="K34" s="15" t="n">
        <v>110</v>
      </c>
      <c r="L34" s="15" t="n">
        <v>120</v>
      </c>
    </row>
    <row r="37">
      <c r="B37" s="28" t="inlineStr">
        <is>
          <t>Sources: Micron 10-K (FY2021–FY2025), consensus estimates (FY2026–FY2028), analyst model extensions (FY2029–FY2030). All figures in USD millions.</t>
        </is>
      </c>
    </row>
  </sheetData>
  <mergeCells count="1">
    <mergeCell ref="B2:L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43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3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8" customHeight="1"/>
    <row r="2" ht="35" customHeight="1">
      <c r="B2" s="29" t="inlineStr">
        <is>
          <t>BALANCE SHEET — HISTORICAL (FY2021–FY2025A)</t>
        </is>
      </c>
    </row>
    <row r="4">
      <c r="B4" s="4" t="inlineStr">
        <is>
          <t>(USD millions)</t>
        </is>
      </c>
      <c r="C4" s="4" t="inlineStr">
        <is>
          <t>FY2021</t>
        </is>
      </c>
      <c r="D4" s="4" t="inlineStr">
        <is>
          <t>FY2022</t>
        </is>
      </c>
      <c r="E4" s="4" t="inlineStr">
        <is>
          <t>FY2023</t>
        </is>
      </c>
      <c r="F4" s="4" t="inlineStr">
        <is>
          <t>FY2024</t>
        </is>
      </c>
      <c r="G4" s="4" t="inlineStr">
        <is>
          <t>FY2025A</t>
        </is>
      </c>
      <c r="H4" s="4" t="n"/>
    </row>
    <row r="5" ht="15" customHeight="1">
      <c r="B5" s="43" t="inlineStr">
        <is>
          <t>ASSETS</t>
        </is>
      </c>
    </row>
    <row r="6" ht="15" customHeight="1">
      <c r="B6" s="44" t="inlineStr">
        <is>
          <t>Current Assets</t>
        </is>
      </c>
    </row>
    <row r="7" ht="15" customHeight="1">
      <c r="B7" s="12" t="inlineStr">
        <is>
          <t xml:space="preserve">  Cash &amp; Equivalents</t>
        </is>
      </c>
      <c r="C7" s="14" t="n">
        <v>8262</v>
      </c>
      <c r="D7" s="14" t="n">
        <v>7536</v>
      </c>
      <c r="E7" s="14" t="n">
        <v>8577</v>
      </c>
      <c r="F7" s="14" t="n">
        <v>7041</v>
      </c>
      <c r="G7" s="14" t="n">
        <v>9642</v>
      </c>
    </row>
    <row r="8" ht="15" customHeight="1">
      <c r="B8" s="12" t="inlineStr">
        <is>
          <t xml:space="preserve">  Short-term Investments</t>
        </is>
      </c>
      <c r="C8" s="14" t="n">
        <v>900</v>
      </c>
      <c r="D8" s="14" t="n">
        <v>1069</v>
      </c>
      <c r="E8" s="14" t="n">
        <v>902</v>
      </c>
      <c r="F8" s="14" t="n">
        <v>986</v>
      </c>
      <c r="G8" s="14" t="n">
        <v>3481</v>
      </c>
    </row>
    <row r="9" ht="15" customHeight="1">
      <c r="B9" s="12" t="inlineStr">
        <is>
          <t xml:space="preserve">  Receivables</t>
        </is>
      </c>
      <c r="C9" s="14" t="n">
        <v>3318</v>
      </c>
      <c r="D9" s="14" t="n">
        <v>4040</v>
      </c>
      <c r="E9" s="14" t="n">
        <v>2804</v>
      </c>
      <c r="F9" s="14" t="n">
        <v>4291</v>
      </c>
      <c r="G9" s="14" t="n">
        <v>7020</v>
      </c>
    </row>
    <row r="10" ht="15" customHeight="1">
      <c r="B10" s="12" t="inlineStr">
        <is>
          <t xml:space="preserve">  Inventories</t>
        </is>
      </c>
      <c r="C10" s="14" t="n">
        <v>5765</v>
      </c>
      <c r="D10" s="14" t="n">
        <v>6663</v>
      </c>
      <c r="E10" s="14" t="n">
        <v>8716</v>
      </c>
      <c r="F10" s="14" t="n">
        <v>8789</v>
      </c>
      <c r="G10" s="14" t="n">
        <v>7247</v>
      </c>
    </row>
    <row r="11" ht="15" customHeight="1">
      <c r="B11" s="12" t="inlineStr">
        <is>
          <t xml:space="preserve">  Other Current Assets</t>
        </is>
      </c>
      <c r="C11" s="14" t="n">
        <v>662</v>
      </c>
      <c r="D11" s="14" t="n">
        <v>473</v>
      </c>
      <c r="E11" s="14" t="n">
        <v>245</v>
      </c>
      <c r="F11" s="14" t="n">
        <v>1265</v>
      </c>
      <c r="G11" s="14" t="n">
        <v>1451</v>
      </c>
    </row>
    <row r="12" ht="15" customHeight="1">
      <c r="B12" s="34" t="inlineStr">
        <is>
          <t>Total Current Assets</t>
        </is>
      </c>
      <c r="C12" s="39" t="n">
        <v>18907</v>
      </c>
      <c r="D12" s="39" t="n">
        <v>19781</v>
      </c>
      <c r="E12" s="39" t="n">
        <v>21244</v>
      </c>
      <c r="F12" s="39" t="n">
        <v>22372</v>
      </c>
      <c r="G12" s="39" t="n">
        <v>28841</v>
      </c>
    </row>
    <row r="13" ht="15" customHeight="1"/>
    <row r="14" ht="15" customHeight="1">
      <c r="B14" s="44" t="inlineStr">
        <is>
          <t>Non-Current Assets</t>
        </is>
      </c>
    </row>
    <row r="15" ht="15" customHeight="1">
      <c r="B15" s="12" t="inlineStr">
        <is>
          <t xml:space="preserve">  PP&amp;E, Net</t>
        </is>
      </c>
      <c r="C15" s="14" t="n">
        <v>28791</v>
      </c>
      <c r="D15" s="14" t="n">
        <v>33750</v>
      </c>
      <c r="E15" s="14" t="n">
        <v>35009</v>
      </c>
      <c r="F15" s="14" t="n">
        <v>38521</v>
      </c>
      <c r="G15" s="14" t="n">
        <v>46456</v>
      </c>
    </row>
    <row r="16" ht="15" customHeight="1">
      <c r="B16" s="12" t="inlineStr">
        <is>
          <t xml:space="preserve">  Intangibles &amp; Goodwill</t>
        </is>
      </c>
      <c r="C16" s="14" t="n">
        <v>1551</v>
      </c>
      <c r="D16" s="14" t="n">
        <v>1577</v>
      </c>
      <c r="E16" s="14" t="n">
        <v>1551</v>
      </c>
      <c r="F16" s="14" t="n">
        <v>1562</v>
      </c>
      <c r="G16" s="14" t="n">
        <v>1601</v>
      </c>
    </row>
    <row r="17" ht="15" customHeight="1">
      <c r="B17" s="12" t="inlineStr">
        <is>
          <t xml:space="preserve">  Right-of-use &amp; Other</t>
        </is>
      </c>
      <c r="C17" s="14" t="n">
        <v>9600</v>
      </c>
      <c r="D17" s="14" t="n">
        <v>11175</v>
      </c>
      <c r="E17" s="14" t="n">
        <v>6454</v>
      </c>
      <c r="F17" s="14" t="n">
        <v>6961</v>
      </c>
      <c r="G17" s="14" t="n">
        <v>6501</v>
      </c>
    </row>
    <row r="18" ht="15" customHeight="1">
      <c r="B18" s="34" t="inlineStr">
        <is>
          <t>Total Non-Current Assets</t>
        </is>
      </c>
      <c r="C18" s="39" t="n">
        <v>39942</v>
      </c>
      <c r="D18" s="39" t="n">
        <v>46502</v>
      </c>
      <c r="E18" s="39" t="n">
        <v>43010</v>
      </c>
      <c r="F18" s="39" t="n">
        <v>47044</v>
      </c>
      <c r="G18" s="39" t="n">
        <v>54558</v>
      </c>
    </row>
    <row r="19" ht="15" customHeight="1">
      <c r="B19" s="45" t="inlineStr">
        <is>
          <t>TOTAL ASSETS</t>
        </is>
      </c>
      <c r="C19" s="39" t="n">
        <v>58849</v>
      </c>
      <c r="D19" s="39" t="n">
        <v>66283</v>
      </c>
      <c r="E19" s="39" t="n">
        <v>64254</v>
      </c>
      <c r="F19" s="39" t="n">
        <v>69416</v>
      </c>
      <c r="G19" s="39" t="n">
        <v>83399</v>
      </c>
    </row>
    <row r="20" ht="15" customHeight="1"/>
    <row r="21" ht="15" customHeight="1">
      <c r="B21" s="43" t="inlineStr">
        <is>
          <t>LIABILITIES</t>
        </is>
      </c>
    </row>
    <row r="22" ht="15" customHeight="1">
      <c r="B22" s="44" t="inlineStr">
        <is>
          <t>Current Liabilities</t>
        </is>
      </c>
    </row>
    <row r="23" ht="15" customHeight="1">
      <c r="B23" s="12" t="inlineStr">
        <is>
          <t xml:space="preserve">  Short-term Debt</t>
        </is>
      </c>
      <c r="C23" s="14" t="n">
        <v>281</v>
      </c>
      <c r="D23" s="14" t="n">
        <v>103</v>
      </c>
      <c r="E23" s="14" t="n">
        <v>278</v>
      </c>
      <c r="F23" s="14" t="n">
        <v>431</v>
      </c>
      <c r="G23" s="14" t="n">
        <v>560</v>
      </c>
    </row>
    <row r="24" ht="15" customHeight="1">
      <c r="B24" s="12" t="inlineStr">
        <is>
          <t xml:space="preserve">  Accounts Payable &amp; Accrued</t>
        </is>
      </c>
      <c r="C24" s="14" t="n">
        <v>4943</v>
      </c>
      <c r="D24" s="14" t="n">
        <v>6090</v>
      </c>
      <c r="E24" s="14" t="n">
        <v>3958</v>
      </c>
      <c r="F24" s="14" t="n">
        <v>7299</v>
      </c>
      <c r="G24" s="14" t="n">
        <v>9649</v>
      </c>
    </row>
    <row r="25" ht="15" customHeight="1">
      <c r="B25" s="12" t="inlineStr">
        <is>
          <t xml:space="preserve">  Other Current Liabilities</t>
        </is>
      </c>
      <c r="C25" s="14" t="n">
        <v>1200</v>
      </c>
      <c r="D25" s="14" t="n">
        <v>1346</v>
      </c>
      <c r="E25" s="14" t="n">
        <v>529</v>
      </c>
      <c r="F25" s="14" t="n">
        <v>1518</v>
      </c>
      <c r="G25" s="14" t="n">
        <v>1245</v>
      </c>
    </row>
    <row r="26" ht="15" customHeight="1">
      <c r="B26" s="34" t="inlineStr">
        <is>
          <t>Total Current Liabilities</t>
        </is>
      </c>
      <c r="C26" s="39" t="n">
        <v>6424</v>
      </c>
      <c r="D26" s="39" t="n">
        <v>7539</v>
      </c>
      <c r="E26" s="39" t="n">
        <v>4765</v>
      </c>
      <c r="F26" s="39" t="n">
        <v>9248</v>
      </c>
      <c r="G26" s="39" t="n">
        <v>11454</v>
      </c>
    </row>
    <row r="27" ht="15" customHeight="1"/>
    <row r="28" ht="15" customHeight="1">
      <c r="B28" s="12" t="inlineStr">
        <is>
          <t xml:space="preserve">  Long-term Debt</t>
        </is>
      </c>
      <c r="C28" s="14" t="n">
        <v>7054</v>
      </c>
      <c r="D28" s="14" t="n">
        <v>6803</v>
      </c>
      <c r="E28" s="14" t="n">
        <v>13052</v>
      </c>
      <c r="F28" s="14" t="n">
        <v>12966</v>
      </c>
      <c r="G28" s="14" t="n">
        <v>14017</v>
      </c>
    </row>
    <row r="29" ht="15" customHeight="1">
      <c r="B29" s="12" t="inlineStr">
        <is>
          <t xml:space="preserve">  Other Non-Current Liabilities</t>
        </is>
      </c>
      <c r="C29" s="14" t="n">
        <v>3438</v>
      </c>
      <c r="D29" s="14" t="n">
        <v>2034</v>
      </c>
      <c r="E29" s="14" t="n">
        <v>2317</v>
      </c>
      <c r="F29" s="14" t="n">
        <v>2071</v>
      </c>
      <c r="G29" s="14" t="n">
        <v>3162</v>
      </c>
    </row>
    <row r="30" ht="15" customHeight="1">
      <c r="B30" s="34" t="inlineStr">
        <is>
          <t>Total Non-Current Liabilities</t>
        </is>
      </c>
      <c r="C30" s="39" t="n">
        <v>10492</v>
      </c>
      <c r="D30" s="39" t="n">
        <v>8837</v>
      </c>
      <c r="E30" s="39" t="n">
        <v>15369</v>
      </c>
      <c r="F30" s="39" t="n">
        <v>15037</v>
      </c>
      <c r="G30" s="39" t="n">
        <v>17179</v>
      </c>
    </row>
    <row r="31" ht="15" customHeight="1">
      <c r="B31" s="45" t="inlineStr">
        <is>
          <t>TOTAL LIABILITIES</t>
        </is>
      </c>
      <c r="C31" s="39" t="n">
        <v>16916</v>
      </c>
      <c r="D31" s="39" t="n">
        <v>16376</v>
      </c>
      <c r="E31" s="39" t="n">
        <v>20134</v>
      </c>
      <c r="F31" s="39" t="n">
        <v>24285</v>
      </c>
      <c r="G31" s="39" t="n">
        <v>28633</v>
      </c>
    </row>
    <row r="32" ht="15" customHeight="1"/>
    <row r="33" ht="15" customHeight="1">
      <c r="B33" s="43" t="inlineStr">
        <is>
          <t>SHAREHOLDERS EQUITY</t>
        </is>
      </c>
    </row>
    <row r="34" ht="15" customHeight="1">
      <c r="B34" s="12" t="inlineStr">
        <is>
          <t xml:space="preserve">  Common Stock &amp; APIC</t>
        </is>
      </c>
      <c r="C34" s="14" t="n">
        <v>9841</v>
      </c>
      <c r="D34" s="14" t="n">
        <v>10064</v>
      </c>
      <c r="E34" s="14" t="n">
        <v>10777</v>
      </c>
      <c r="F34" s="14" t="n">
        <v>11461</v>
      </c>
      <c r="G34" s="14" t="n">
        <v>12321</v>
      </c>
    </row>
    <row r="35" ht="15" customHeight="1">
      <c r="B35" s="12" t="inlineStr">
        <is>
          <t xml:space="preserve">  Retained Earnings</t>
        </is>
      </c>
      <c r="C35" s="14" t="n">
        <v>34038</v>
      </c>
      <c r="D35" s="14" t="n">
        <v>39831</v>
      </c>
      <c r="E35" s="14" t="n">
        <v>33325</v>
      </c>
      <c r="F35" s="14" t="n">
        <v>33651</v>
      </c>
      <c r="G35" s="14" t="n">
        <v>41826</v>
      </c>
    </row>
    <row r="36" ht="15" customHeight="1">
      <c r="B36" s="12" t="inlineStr">
        <is>
          <t xml:space="preserve">  Other Comprehensive Income</t>
        </is>
      </c>
      <c r="C36" s="14" t="n">
        <v>54</v>
      </c>
      <c r="D36" s="14" t="n">
        <v>12</v>
      </c>
      <c r="E36" s="14" t="n">
        <v>18</v>
      </c>
      <c r="F36" s="14" t="n">
        <v>19</v>
      </c>
      <c r="G36" s="14" t="n">
        <v>17</v>
      </c>
    </row>
    <row r="37" ht="15" customHeight="1">
      <c r="B37" s="45" t="inlineStr">
        <is>
          <t>TOTAL EQUITY</t>
        </is>
      </c>
      <c r="C37" s="39" t="n">
        <v>43933</v>
      </c>
      <c r="D37" s="39" t="n">
        <v>49907</v>
      </c>
      <c r="E37" s="39" t="n">
        <v>44120</v>
      </c>
      <c r="F37" s="39" t="n">
        <v>45131</v>
      </c>
      <c r="G37" s="39" t="n">
        <v>54164</v>
      </c>
    </row>
    <row r="38" ht="15" customHeight="1">
      <c r="B38" s="45" t="inlineStr">
        <is>
          <t>TOTAL LIAB. + EQUITY</t>
        </is>
      </c>
      <c r="C38" s="39" t="n">
        <v>60849</v>
      </c>
      <c r="D38" s="39" t="n">
        <v>66283</v>
      </c>
      <c r="E38" s="39" t="n">
        <v>64254</v>
      </c>
      <c r="F38" s="39" t="n">
        <v>69416</v>
      </c>
      <c r="G38" s="39" t="n">
        <v>82797</v>
      </c>
    </row>
    <row r="39" ht="15" customHeight="1"/>
    <row r="40" ht="15" customHeight="1">
      <c r="B40" s="12" t="inlineStr">
        <is>
          <t>CHECK: Assets = L+E</t>
        </is>
      </c>
      <c r="C40" s="6" t="inlineStr">
        <is>
          <t>OK</t>
        </is>
      </c>
      <c r="D40" s="6" t="inlineStr">
        <is>
          <t>OK</t>
        </is>
      </c>
      <c r="E40" s="6" t="inlineStr">
        <is>
          <t>OK</t>
        </is>
      </c>
      <c r="F40" s="6" t="inlineStr">
        <is>
          <t>OK</t>
        </is>
      </c>
      <c r="G40" s="6" t="inlineStr">
        <is>
          <t>OK</t>
        </is>
      </c>
    </row>
    <row r="43">
      <c r="B43" s="28" t="inlineStr">
        <is>
          <t>Source: Micron Technology 10-K annual reports FY2021–FY2025. Values in USD millions.</t>
        </is>
      </c>
    </row>
  </sheetData>
  <mergeCells count="1">
    <mergeCell ref="B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38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3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8" customHeight="1"/>
    <row r="2" ht="35" customHeight="1">
      <c r="B2" s="29" t="inlineStr">
        <is>
          <t>CASH FLOW STATEMENT — HISTORICAL (FY2021–FY2025A) &amp; PROJECTED (FY2026E–FY2030E)</t>
        </is>
      </c>
    </row>
    <row r="4">
      <c r="B4" s="4" t="inlineStr">
        <is>
          <t>(USD millions)</t>
        </is>
      </c>
      <c r="C4" s="4" t="inlineStr">
        <is>
          <t>FY2021</t>
        </is>
      </c>
      <c r="D4" s="4" t="inlineStr">
        <is>
          <t>FY2022</t>
        </is>
      </c>
      <c r="E4" s="4" t="inlineStr">
        <is>
          <t>FY2023</t>
        </is>
      </c>
      <c r="F4" s="4" t="inlineStr">
        <is>
          <t>FY2024</t>
        </is>
      </c>
      <c r="G4" s="4" t="inlineStr">
        <is>
          <t>FY2025A</t>
        </is>
      </c>
      <c r="H4" s="4" t="inlineStr">
        <is>
          <t>FY2026E</t>
        </is>
      </c>
      <c r="I4" s="4" t="inlineStr">
        <is>
          <t>FY2027E</t>
        </is>
      </c>
      <c r="J4" s="4" t="inlineStr">
        <is>
          <t>FY2028E</t>
        </is>
      </c>
      <c r="K4" s="4" t="inlineStr">
        <is>
          <t>FY2029E</t>
        </is>
      </c>
      <c r="L4" s="4" t="inlineStr">
        <is>
          <t>FY2030E</t>
        </is>
      </c>
    </row>
    <row r="5" ht="15" customHeight="1">
      <c r="B5" s="43" t="inlineStr">
        <is>
          <t>OPERATING ACTIVITIES</t>
        </is>
      </c>
    </row>
    <row r="6" ht="15" customHeight="1">
      <c r="B6" s="12" t="inlineStr">
        <is>
          <t>Net Income</t>
        </is>
      </c>
      <c r="C6" s="14" t="n">
        <v>5861</v>
      </c>
      <c r="D6" s="14" t="n">
        <v>8687</v>
      </c>
      <c r="E6" s="14" t="n">
        <v>-5833</v>
      </c>
      <c r="F6" s="14" t="n">
        <v>778</v>
      </c>
      <c r="G6" s="14" t="n">
        <v>8539</v>
      </c>
      <c r="H6" s="11" t="n">
        <v>66055</v>
      </c>
      <c r="I6" s="11" t="n">
        <v>108588</v>
      </c>
      <c r="J6" s="11" t="n">
        <v>91564</v>
      </c>
      <c r="K6" s="11" t="n">
        <v>103000</v>
      </c>
      <c r="L6" s="11" t="n">
        <v>113000</v>
      </c>
    </row>
    <row r="7" ht="15" customHeight="1">
      <c r="B7" s="12" t="inlineStr">
        <is>
          <t>Depreciation &amp; Amortization</t>
        </is>
      </c>
      <c r="C7" s="14" t="n">
        <v>5314</v>
      </c>
      <c r="D7" s="14" t="n">
        <v>6616</v>
      </c>
      <c r="E7" s="14" t="n">
        <v>7756</v>
      </c>
      <c r="F7" s="14" t="n">
        <v>7780</v>
      </c>
      <c r="G7" s="14" t="n">
        <v>8352</v>
      </c>
      <c r="H7" s="11" t="n">
        <v>12000</v>
      </c>
      <c r="I7" s="11" t="n">
        <v>14500</v>
      </c>
      <c r="J7" s="11" t="n">
        <v>15000</v>
      </c>
      <c r="K7" s="11" t="n">
        <v>15500</v>
      </c>
      <c r="L7" s="11" t="n">
        <v>16000</v>
      </c>
    </row>
    <row r="8" ht="15" customHeight="1">
      <c r="B8" s="12" t="inlineStr">
        <is>
          <t>Stock-based Compensation</t>
        </is>
      </c>
      <c r="C8" s="14" t="n">
        <v>683</v>
      </c>
      <c r="D8" s="14" t="n">
        <v>821</v>
      </c>
      <c r="E8" s="14" t="n">
        <v>596</v>
      </c>
      <c r="F8" s="14" t="n">
        <v>833</v>
      </c>
      <c r="G8" s="14" t="n">
        <v>972</v>
      </c>
      <c r="H8" s="11" t="n">
        <v>1100</v>
      </c>
      <c r="I8" s="11" t="n">
        <v>1300</v>
      </c>
      <c r="J8" s="11" t="n">
        <v>1200</v>
      </c>
      <c r="K8" s="11" t="n">
        <v>1200</v>
      </c>
      <c r="L8" s="11" t="n">
        <v>1200</v>
      </c>
    </row>
    <row r="9" ht="15" customHeight="1">
      <c r="B9" s="12" t="inlineStr">
        <is>
          <t>Working Capital Changes</t>
        </is>
      </c>
      <c r="C9" s="14" t="n">
        <v>-462</v>
      </c>
      <c r="D9" s="14" t="n">
        <v>-1012</v>
      </c>
      <c r="E9" s="14" t="n">
        <v>-1234</v>
      </c>
      <c r="F9" s="14" t="n">
        <v>-2500</v>
      </c>
      <c r="G9" s="14" t="n">
        <v>900</v>
      </c>
      <c r="H9" s="11" t="n">
        <v>-2000</v>
      </c>
      <c r="I9" s="11" t="n">
        <v>-3000</v>
      </c>
      <c r="J9" s="11" t="n">
        <v>2000</v>
      </c>
      <c r="K9" s="11" t="n">
        <v>-1000</v>
      </c>
      <c r="L9" s="11" t="n">
        <v>-1000</v>
      </c>
    </row>
    <row r="10" ht="15" customHeight="1">
      <c r="B10" s="12" t="inlineStr">
        <is>
          <t>Other Operating Items</t>
        </is>
      </c>
      <c r="C10" s="14" t="n">
        <v>638</v>
      </c>
      <c r="D10" s="14" t="n">
        <v>638</v>
      </c>
      <c r="E10" s="14" t="n">
        <v>1017</v>
      </c>
      <c r="F10" s="14" t="n">
        <v>1215</v>
      </c>
      <c r="G10" s="14" t="n">
        <v>905</v>
      </c>
      <c r="H10" s="11" t="n">
        <v>500</v>
      </c>
      <c r="I10" s="11" t="n">
        <v>500</v>
      </c>
      <c r="J10" s="11" t="n">
        <v>500</v>
      </c>
      <c r="K10" s="11" t="n">
        <v>500</v>
      </c>
      <c r="L10" s="11" t="n">
        <v>500</v>
      </c>
    </row>
    <row r="11" ht="15" customHeight="1">
      <c r="B11" s="34" t="inlineStr">
        <is>
          <t>Operating Cash Flow</t>
        </is>
      </c>
      <c r="C11" s="39" t="n">
        <v>12034</v>
      </c>
      <c r="D11" s="39" t="n">
        <v>15210</v>
      </c>
      <c r="E11" s="39" t="n">
        <v>2362</v>
      </c>
      <c r="F11" s="39" t="n">
        <v>8364</v>
      </c>
      <c r="G11" s="39" t="n">
        <v>19668</v>
      </c>
      <c r="H11" s="39" t="n">
        <v>77655</v>
      </c>
      <c r="I11" s="39" t="n">
        <v>121888</v>
      </c>
      <c r="J11" s="39" t="n">
        <v>110264</v>
      </c>
      <c r="K11" s="39" t="n">
        <v>119200</v>
      </c>
      <c r="L11" s="39" t="n">
        <v>129700</v>
      </c>
    </row>
    <row r="12" ht="15" customHeight="1">
      <c r="B12" s="12" t="inlineStr">
        <is>
          <t xml:space="preserve">  OCF Margin %</t>
        </is>
      </c>
      <c r="C12" s="6" t="inlineStr">
        <is>
          <t>43.4%</t>
        </is>
      </c>
      <c r="D12" s="6" t="inlineStr">
        <is>
          <t>49.4%</t>
        </is>
      </c>
      <c r="E12" s="6" t="inlineStr">
        <is>
          <t>15.2%</t>
        </is>
      </c>
      <c r="F12" s="6" t="inlineStr">
        <is>
          <t>33.3%</t>
        </is>
      </c>
      <c r="G12" s="6" t="inlineStr">
        <is>
          <t>52.6%</t>
        </is>
      </c>
      <c r="H12" s="6" t="inlineStr">
        <is>
          <t>71.1%</t>
        </is>
      </c>
      <c r="I12" s="6" t="inlineStr">
        <is>
          <t>71.4%</t>
        </is>
      </c>
      <c r="J12" s="6" t="inlineStr">
        <is>
          <t>68.3%</t>
        </is>
      </c>
      <c r="K12" s="6" t="inlineStr">
        <is>
          <t>67.2%</t>
        </is>
      </c>
      <c r="L12" s="6" t="inlineStr">
        <is>
          <t>66.4%</t>
        </is>
      </c>
    </row>
    <row r="13" ht="15" customHeight="1"/>
    <row r="14" ht="15" customHeight="1">
      <c r="B14" s="43" t="inlineStr">
        <is>
          <t>INVESTING ACTIVITIES</t>
        </is>
      </c>
    </row>
    <row r="15" ht="15" customHeight="1">
      <c r="B15" s="12" t="inlineStr">
        <is>
          <t>Capital Expenditures</t>
        </is>
      </c>
      <c r="C15" s="14" t="n">
        <v>-9825</v>
      </c>
      <c r="D15" s="14" t="n">
        <v>-12020</v>
      </c>
      <c r="E15" s="14" t="n">
        <v>-7054</v>
      </c>
      <c r="F15" s="14" t="n">
        <v>-8578</v>
      </c>
      <c r="G15" s="14" t="n">
        <v>-13800</v>
      </c>
      <c r="H15" s="11" t="n">
        <v>-20000</v>
      </c>
      <c r="I15" s="11" t="n">
        <v>-22000</v>
      </c>
      <c r="J15" s="11" t="n">
        <v>-20000</v>
      </c>
      <c r="K15" s="11" t="n">
        <v>-20000</v>
      </c>
      <c r="L15" s="11" t="n">
        <v>-21000</v>
      </c>
    </row>
    <row r="16" ht="15" customHeight="1">
      <c r="B16" s="12" t="inlineStr">
        <is>
          <t xml:space="preserve">  CapEx % of Revenue</t>
        </is>
      </c>
      <c r="C16" s="6" t="inlineStr">
        <is>
          <t>-35.5%</t>
        </is>
      </c>
      <c r="D16" s="6" t="inlineStr">
        <is>
          <t>-39.1%</t>
        </is>
      </c>
      <c r="E16" s="6" t="inlineStr">
        <is>
          <t>-45.4%</t>
        </is>
      </c>
      <c r="F16" s="6" t="inlineStr">
        <is>
          <t>-34.2%</t>
        </is>
      </c>
      <c r="G16" s="6" t="inlineStr">
        <is>
          <t>-36.9%</t>
        </is>
      </c>
      <c r="H16" s="6" t="inlineStr">
        <is>
          <t>-18.3%</t>
        </is>
      </c>
      <c r="I16" s="6" t="inlineStr">
        <is>
          <t>-12.9%</t>
        </is>
      </c>
      <c r="J16" s="6" t="inlineStr">
        <is>
          <t>-12.4%</t>
        </is>
      </c>
      <c r="K16" s="6" t="inlineStr">
        <is>
          <t>-11.3%</t>
        </is>
      </c>
      <c r="L16" s="6" t="inlineStr">
        <is>
          <t>-10.8%</t>
        </is>
      </c>
    </row>
    <row r="17" ht="15" customHeight="1">
      <c r="B17" s="12" t="inlineStr">
        <is>
          <t>Acquisitions &amp; Investments</t>
        </is>
      </c>
      <c r="C17" s="14" t="n">
        <v>-258</v>
      </c>
      <c r="D17" s="14" t="n">
        <v>-370</v>
      </c>
      <c r="E17" s="14" t="n">
        <v>-226</v>
      </c>
      <c r="F17" s="14" t="n">
        <v>-200</v>
      </c>
      <c r="G17" s="14" t="n">
        <v>-200</v>
      </c>
      <c r="H17" s="11" t="n">
        <v>-200</v>
      </c>
      <c r="I17" s="11" t="n">
        <v>-200</v>
      </c>
      <c r="J17" s="11" t="n">
        <v>-200</v>
      </c>
      <c r="K17" s="11" t="n">
        <v>-200</v>
      </c>
      <c r="L17" s="11" t="n">
        <v>-200</v>
      </c>
    </row>
    <row r="18" ht="15" customHeight="1">
      <c r="B18" s="12" t="inlineStr">
        <is>
          <t>Proceeds from Asset Sales</t>
        </is>
      </c>
      <c r="C18" s="14" t="n">
        <v>85</v>
      </c>
      <c r="D18" s="14" t="n">
        <v>150</v>
      </c>
      <c r="E18" s="14" t="n">
        <v>163</v>
      </c>
      <c r="F18" s="14" t="n">
        <v>195</v>
      </c>
      <c r="G18" s="14" t="n">
        <v>125</v>
      </c>
      <c r="H18" s="11" t="n">
        <v>200</v>
      </c>
      <c r="I18" s="11" t="n">
        <v>200</v>
      </c>
      <c r="J18" s="11" t="n">
        <v>200</v>
      </c>
      <c r="K18" s="11" t="n">
        <v>200</v>
      </c>
      <c r="L18" s="11" t="n">
        <v>200</v>
      </c>
    </row>
    <row r="19" ht="15" customHeight="1">
      <c r="B19" s="34" t="inlineStr">
        <is>
          <t>Investing Cash Flow</t>
        </is>
      </c>
      <c r="C19" s="39" t="n">
        <v>-10000</v>
      </c>
      <c r="D19" s="39" t="n">
        <v>-12240</v>
      </c>
      <c r="E19" s="39" t="n">
        <v>-7117</v>
      </c>
      <c r="F19" s="39" t="n">
        <v>-8583</v>
      </c>
      <c r="G19" s="39" t="n">
        <v>-13875</v>
      </c>
      <c r="H19" s="39" t="n">
        <v>-20000</v>
      </c>
      <c r="I19" s="39" t="n">
        <v>-22000</v>
      </c>
      <c r="J19" s="39" t="n">
        <v>-20000</v>
      </c>
      <c r="K19" s="39" t="n">
        <v>-20000</v>
      </c>
      <c r="L19" s="39" t="n">
        <v>-21000</v>
      </c>
    </row>
    <row r="20" ht="15" customHeight="1"/>
    <row r="21" ht="15" customHeight="1">
      <c r="B21" s="43" t="inlineStr">
        <is>
          <t>FINANCING ACTIVITIES</t>
        </is>
      </c>
    </row>
    <row r="22" ht="15" customHeight="1">
      <c r="B22" s="12" t="inlineStr">
        <is>
          <t>Debt Issuance / (Repayment)</t>
        </is>
      </c>
      <c r="C22" s="14" t="n">
        <v>-1050</v>
      </c>
      <c r="D22" s="14" t="n">
        <v>500</v>
      </c>
      <c r="E22" s="14" t="n">
        <v>6476</v>
      </c>
      <c r="F22" s="14" t="n">
        <v>-75</v>
      </c>
      <c r="G22" s="14" t="n">
        <v>-1600</v>
      </c>
      <c r="H22" s="11" t="n">
        <v>-2000</v>
      </c>
      <c r="I22" s="11" t="n">
        <v>-2000</v>
      </c>
      <c r="J22" s="11" t="n">
        <v>-2000</v>
      </c>
      <c r="K22" s="11" t="n">
        <v>-2000</v>
      </c>
      <c r="L22" s="11" t="n">
        <v>-2000</v>
      </c>
    </row>
    <row r="23" ht="15" customHeight="1">
      <c r="B23" s="12" t="inlineStr">
        <is>
          <t>Share Repurchases</t>
        </is>
      </c>
      <c r="C23" s="14" t="n">
        <v>-700</v>
      </c>
      <c r="D23" s="14" t="n">
        <v>-1500</v>
      </c>
      <c r="E23" s="14" t="n">
        <v>-600</v>
      </c>
      <c r="F23" s="14" t="n">
        <v>-640</v>
      </c>
      <c r="G23" s="14" t="n">
        <v>-200</v>
      </c>
      <c r="H23" s="11" t="n">
        <v>-500</v>
      </c>
      <c r="I23" s="11" t="n">
        <v>-500</v>
      </c>
      <c r="J23" s="11" t="n">
        <v>-500</v>
      </c>
      <c r="K23" s="11" t="n">
        <v>-1000</v>
      </c>
      <c r="L23" s="11" t="n">
        <v>-1500</v>
      </c>
    </row>
    <row r="24" ht="15" customHeight="1">
      <c r="B24" s="12" t="inlineStr">
        <is>
          <t>Dividends Paid</t>
        </is>
      </c>
      <c r="C24" s="14" t="n">
        <v>-481</v>
      </c>
      <c r="D24" s="14" t="n">
        <v>-481</v>
      </c>
      <c r="E24" s="14" t="n">
        <v>-504</v>
      </c>
      <c r="F24" s="14" t="n">
        <v>-519</v>
      </c>
      <c r="G24" s="14" t="n">
        <v>-526</v>
      </c>
      <c r="H24" s="11" t="n">
        <v>-600</v>
      </c>
      <c r="I24" s="11" t="n">
        <v>-650</v>
      </c>
      <c r="J24" s="11" t="n">
        <v>-700</v>
      </c>
      <c r="K24" s="11" t="n">
        <v>-750</v>
      </c>
      <c r="L24" s="11" t="n">
        <v>-800</v>
      </c>
    </row>
    <row r="25" ht="15" customHeight="1">
      <c r="B25" s="12" t="inlineStr">
        <is>
          <t>Other Financing</t>
        </is>
      </c>
      <c r="C25" s="14" t="n">
        <v>200</v>
      </c>
      <c r="D25" s="14" t="n">
        <v>300</v>
      </c>
      <c r="E25" s="14" t="n">
        <v>400</v>
      </c>
      <c r="F25" s="14" t="n">
        <v>200</v>
      </c>
      <c r="G25" s="14" t="n">
        <v>200</v>
      </c>
      <c r="H25" s="11" t="n">
        <v>100</v>
      </c>
      <c r="I25" s="11" t="n">
        <v>100</v>
      </c>
      <c r="J25" s="11" t="n">
        <v>100</v>
      </c>
      <c r="K25" s="11" t="n">
        <v>100</v>
      </c>
      <c r="L25" s="11" t="n">
        <v>100</v>
      </c>
    </row>
    <row r="26" ht="15" customHeight="1">
      <c r="B26" s="34" t="inlineStr">
        <is>
          <t>Financing Cash Flow</t>
        </is>
      </c>
      <c r="C26" s="39" t="n">
        <v>-2031</v>
      </c>
      <c r="D26" s="39" t="n">
        <v>-1181</v>
      </c>
      <c r="E26" s="39" t="n">
        <v>5772</v>
      </c>
      <c r="F26" s="39" t="n">
        <v>-1034</v>
      </c>
      <c r="G26" s="39" t="n">
        <v>-2126</v>
      </c>
      <c r="H26" s="39" t="n">
        <v>-3000</v>
      </c>
      <c r="I26" s="39" t="n">
        <v>-3050</v>
      </c>
      <c r="J26" s="39" t="n">
        <v>-3100</v>
      </c>
      <c r="K26" s="39" t="n">
        <v>-3650</v>
      </c>
      <c r="L26" s="39" t="n">
        <v>-4200</v>
      </c>
    </row>
    <row r="27" ht="15" customHeight="1"/>
    <row r="28" ht="15" customHeight="1">
      <c r="B28" s="34" t="inlineStr">
        <is>
          <t>NET CHANGE IN CASH</t>
        </is>
      </c>
      <c r="C28" s="39" t="n">
        <v>-997</v>
      </c>
      <c r="D28" s="39" t="n">
        <v>1789</v>
      </c>
      <c r="E28" s="39" t="n">
        <v>1017</v>
      </c>
      <c r="F28" s="39" t="n">
        <v>-1253</v>
      </c>
      <c r="G28" s="39" t="n">
        <v>3667</v>
      </c>
      <c r="H28" s="39" t="n">
        <v>54655</v>
      </c>
      <c r="I28" s="39" t="n">
        <v>96838</v>
      </c>
      <c r="J28" s="39" t="n">
        <v>87164</v>
      </c>
      <c r="K28" s="39" t="n">
        <v>95550</v>
      </c>
      <c r="L28" s="39" t="n">
        <v>104500</v>
      </c>
    </row>
    <row r="29" ht="15" customHeight="1"/>
    <row r="30" ht="15" customHeight="1">
      <c r="B30" s="43" t="inlineStr">
        <is>
          <t>FREE CASH FLOW SUMMARY</t>
        </is>
      </c>
    </row>
    <row r="31" ht="15" customHeight="1">
      <c r="B31" s="12" t="inlineStr">
        <is>
          <t>Operating Cash Flow</t>
        </is>
      </c>
      <c r="C31" s="14" t="n">
        <v>12034</v>
      </c>
      <c r="D31" s="14" t="n">
        <v>15210</v>
      </c>
      <c r="E31" s="14" t="n">
        <v>2362</v>
      </c>
      <c r="F31" s="14" t="n">
        <v>8364</v>
      </c>
      <c r="G31" s="14" t="n">
        <v>19668</v>
      </c>
      <c r="H31" s="11" t="n">
        <v>77655</v>
      </c>
      <c r="I31" s="11" t="n">
        <v>121888</v>
      </c>
      <c r="J31" s="11" t="n">
        <v>110264</v>
      </c>
      <c r="K31" s="11" t="n">
        <v>119200</v>
      </c>
      <c r="L31" s="11" t="n">
        <v>129700</v>
      </c>
    </row>
    <row r="32" ht="15" customHeight="1">
      <c r="B32" s="12" t="inlineStr">
        <is>
          <t>(-) Capital Expenditures</t>
        </is>
      </c>
      <c r="C32" s="14" t="n">
        <v>-9825</v>
      </c>
      <c r="D32" s="14" t="n">
        <v>-12020</v>
      </c>
      <c r="E32" s="14" t="n">
        <v>-7054</v>
      </c>
      <c r="F32" s="14" t="n">
        <v>-8578</v>
      </c>
      <c r="G32" s="14" t="n">
        <v>-13800</v>
      </c>
      <c r="H32" s="11" t="n">
        <v>-20000</v>
      </c>
      <c r="I32" s="11" t="n">
        <v>-22000</v>
      </c>
      <c r="J32" s="11" t="n">
        <v>-20000</v>
      </c>
      <c r="K32" s="11" t="n">
        <v>-20000</v>
      </c>
      <c r="L32" s="11" t="n">
        <v>-21000</v>
      </c>
    </row>
    <row r="33" ht="15" customHeight="1">
      <c r="B33" s="34" t="inlineStr">
        <is>
          <t>Free Cash Flow (FCF)</t>
        </is>
      </c>
      <c r="C33" s="39" t="n">
        <v>2438</v>
      </c>
      <c r="D33" s="39" t="n">
        <v>3114</v>
      </c>
      <c r="E33" s="39" t="n">
        <v>-6117</v>
      </c>
      <c r="F33" s="39" t="n">
        <v>121</v>
      </c>
      <c r="G33" s="39" t="n">
        <v>1668</v>
      </c>
      <c r="H33" s="39" t="n">
        <v>47000</v>
      </c>
      <c r="I33" s="39" t="n">
        <v>82000</v>
      </c>
      <c r="J33" s="39" t="n">
        <v>72000</v>
      </c>
      <c r="K33" s="39" t="n">
        <v>82000</v>
      </c>
      <c r="L33" s="39" t="n">
        <v>93000</v>
      </c>
    </row>
    <row r="34" ht="15" customHeight="1">
      <c r="B34" s="12" t="inlineStr">
        <is>
          <t xml:space="preserve">  FCF Margin %</t>
        </is>
      </c>
      <c r="C34" s="6" t="inlineStr">
        <is>
          <t>8.8%</t>
        </is>
      </c>
      <c r="D34" s="6" t="inlineStr">
        <is>
          <t>10.1%</t>
        </is>
      </c>
      <c r="E34" s="6" t="inlineStr">
        <is>
          <t>-39.4%</t>
        </is>
      </c>
      <c r="F34" s="6" t="inlineStr">
        <is>
          <t>0.5%</t>
        </is>
      </c>
      <c r="G34" s="6" t="inlineStr">
        <is>
          <t>4.5%</t>
        </is>
      </c>
      <c r="H34" s="6" t="inlineStr">
        <is>
          <t>43.0%</t>
        </is>
      </c>
      <c r="I34" s="6" t="inlineStr">
        <is>
          <t>48.1%</t>
        </is>
      </c>
      <c r="J34" s="6" t="inlineStr">
        <is>
          <t>44.6%</t>
        </is>
      </c>
      <c r="K34" s="6" t="inlineStr">
        <is>
          <t>46.2%</t>
        </is>
      </c>
      <c r="L34" s="6" t="inlineStr">
        <is>
          <t>47.7%</t>
        </is>
      </c>
    </row>
    <row r="35" ht="15" customHeight="1">
      <c r="B35" s="12" t="inlineStr">
        <is>
          <t xml:space="preserve">  FCF Conversion (FCF/NI)</t>
        </is>
      </c>
      <c r="C35" s="6" t="inlineStr">
        <is>
          <t>41.6%</t>
        </is>
      </c>
      <c r="D35" s="6" t="inlineStr">
        <is>
          <t>35.8%</t>
        </is>
      </c>
      <c r="E35" s="6" t="inlineStr">
        <is>
          <t>n/m</t>
        </is>
      </c>
      <c r="F35" s="6" t="inlineStr">
        <is>
          <t>15.6%</t>
        </is>
      </c>
      <c r="G35" s="6" t="inlineStr">
        <is>
          <t>19.5%</t>
        </is>
      </c>
      <c r="H35" s="6" t="inlineStr">
        <is>
          <t>71.2%</t>
        </is>
      </c>
      <c r="I35" s="6" t="inlineStr">
        <is>
          <t>75.5%</t>
        </is>
      </c>
      <c r="J35" s="6" t="inlineStr">
        <is>
          <t>78.6%</t>
        </is>
      </c>
      <c r="K35" s="6" t="inlineStr">
        <is>
          <t>79.6%</t>
        </is>
      </c>
      <c r="L35" s="6" t="inlineStr">
        <is>
          <t>82.3%</t>
        </is>
      </c>
    </row>
    <row r="38">
      <c r="B38" s="28" t="inlineStr">
        <is>
          <t>Sources: Micron 10-K FY2021–FY2025, consensus estimates FY2026–FY2028, analyst model FY2029–FY2030. All values USD millions.</t>
        </is>
      </c>
    </row>
  </sheetData>
  <mergeCells count="1">
    <mergeCell ref="B2:L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K63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8" customHeight="1"/>
    <row r="2" ht="35" customHeight="1">
      <c r="B2" s="29" t="inlineStr">
        <is>
          <t>DCF VALUATION MODEL — MICRON TECHNOLOGY (MU)</t>
        </is>
      </c>
    </row>
    <row r="4">
      <c r="B4" s="10" t="inlineStr">
        <is>
          <t>WACC CALCULATION</t>
        </is>
      </c>
      <c r="C4" s="2" t="n"/>
      <c r="D4" s="2" t="n"/>
      <c r="E4" s="2" t="n"/>
      <c r="F4" s="2" t="n"/>
      <c r="G4" s="2" t="n"/>
    </row>
    <row r="5" ht="16" customHeight="1">
      <c r="B5" s="12" t="inlineStr">
        <is>
          <t>Risk-Free Rate (10Y UST)</t>
        </is>
      </c>
      <c r="C5" s="46" t="inlineStr">
        <is>
          <t>4.45%</t>
        </is>
      </c>
      <c r="D5" s="28" t="inlineStr">
        <is>
          <t>Source: Bloomberg, May 2026</t>
        </is>
      </c>
    </row>
    <row r="6" ht="16" customHeight="1">
      <c r="B6" s="12" t="inlineStr">
        <is>
          <t>Equity Risk Premium</t>
        </is>
      </c>
      <c r="C6" s="46" t="inlineStr">
        <is>
          <t>5.50%</t>
        </is>
      </c>
      <c r="D6" s="28" t="inlineStr">
        <is>
          <t>Damodaran ERP estimate</t>
        </is>
      </c>
    </row>
    <row r="7" ht="16" customHeight="1">
      <c r="B7" s="12" t="inlineStr">
        <is>
          <t>Beta (5Y monthly)</t>
        </is>
      </c>
      <c r="C7" s="46" t="inlineStr">
        <is>
          <t>1.35</t>
        </is>
      </c>
      <c r="D7" s="28" t="inlineStr">
        <is>
          <t>Estimated; memory semis are cyclical</t>
        </is>
      </c>
    </row>
    <row r="8" ht="16" customHeight="1">
      <c r="B8" s="12" t="inlineStr">
        <is>
          <t>Cost of Equity (CAPM)</t>
        </is>
      </c>
      <c r="C8" s="47" t="inlineStr">
        <is>
          <t>11.88%</t>
        </is>
      </c>
      <c r="D8" s="28">
        <f>Rf + Beta×ERP</f>
        <v/>
      </c>
    </row>
    <row r="9" ht="16" customHeight="1">
      <c r="B9" s="12" t="inlineStr">
        <is>
          <t>Pre-tax Cost of Debt</t>
        </is>
      </c>
      <c r="C9" s="47" t="inlineStr">
        <is>
          <t>3.12%</t>
        </is>
      </c>
      <c r="D9" s="28" t="inlineStr">
        <is>
          <t>Interest expense / total debt</t>
        </is>
      </c>
    </row>
    <row r="10" ht="16" customHeight="1">
      <c r="B10" s="12" t="inlineStr">
        <is>
          <t>Effective Tax Rate</t>
        </is>
      </c>
      <c r="C10" s="46" t="inlineStr">
        <is>
          <t>15.5%</t>
        </is>
      </c>
      <c r="D10" s="28" t="inlineStr">
        <is>
          <t>Company guidance FY2026</t>
        </is>
      </c>
    </row>
    <row r="11" ht="16" customHeight="1">
      <c r="B11" s="12" t="inlineStr">
        <is>
          <t>After-tax Cost of Debt</t>
        </is>
      </c>
      <c r="C11" s="47" t="inlineStr">
        <is>
          <t>2.64%</t>
        </is>
      </c>
      <c r="D11" s="28">
        <f>Kd × (1-T)</f>
        <v/>
      </c>
    </row>
    <row r="12" ht="16" customHeight="1">
      <c r="B12" s="12" t="inlineStr">
        <is>
          <t>Equity Weight</t>
        </is>
      </c>
      <c r="C12" s="47" t="inlineStr">
        <is>
          <t>98.4%</t>
        </is>
      </c>
      <c r="D12" s="28" t="inlineStr">
        <is>
          <t>Market cap / (Market cap + Debt)</t>
        </is>
      </c>
    </row>
    <row r="13" ht="16" customHeight="1">
      <c r="B13" s="12" t="inlineStr">
        <is>
          <t>Debt Weight</t>
        </is>
      </c>
      <c r="C13" s="47" t="inlineStr">
        <is>
          <t>1.6%</t>
        </is>
      </c>
      <c r="D13" s="28" t="inlineStr">
        <is>
          <t>Debt / (Market cap + Debt)</t>
        </is>
      </c>
    </row>
    <row r="14" ht="16" customHeight="1">
      <c r="B14" s="48" t="inlineStr">
        <is>
          <t>WACC</t>
        </is>
      </c>
      <c r="C14" s="4" t="inlineStr">
        <is>
          <t>11.73%</t>
        </is>
      </c>
      <c r="D14" s="48">
        <f>E/V×Ke + D/V×Kd×(1-T)</f>
        <v/>
      </c>
    </row>
    <row r="16">
      <c r="B16" s="10" t="inlineStr">
        <is>
          <t>UNLEVERED FREE CASH FLOW PROJECTIONS (Base Case)</t>
        </is>
      </c>
      <c r="C16" s="2" t="n"/>
      <c r="D16" s="2" t="n"/>
      <c r="E16" s="2" t="n"/>
      <c r="F16" s="2" t="n"/>
      <c r="G16" s="2" t="n"/>
    </row>
    <row r="17">
      <c r="B17" s="4" t="inlineStr">
        <is>
          <t>(USD millions)</t>
        </is>
      </c>
      <c r="C17" s="4" t="inlineStr">
        <is>
          <t>FY2026E</t>
        </is>
      </c>
      <c r="D17" s="4" t="inlineStr">
        <is>
          <t>FY2027E</t>
        </is>
      </c>
      <c r="E17" s="4" t="inlineStr">
        <is>
          <t>FY2028E</t>
        </is>
      </c>
      <c r="F17" s="4" t="inlineStr">
        <is>
          <t>FY2029E</t>
        </is>
      </c>
      <c r="G17" s="4" t="inlineStr">
        <is>
          <t>FY2030E</t>
        </is>
      </c>
    </row>
    <row r="18" ht="15" customHeight="1">
      <c r="B18" s="34" t="inlineStr">
        <is>
          <t>Revenue ($M)</t>
        </is>
      </c>
      <c r="C18" s="39" t="n">
        <v>109286</v>
      </c>
      <c r="D18" s="39" t="n">
        <v>170657</v>
      </c>
      <c r="E18" s="39" t="n">
        <v>161334</v>
      </c>
      <c r="F18" s="39" t="n">
        <v>177467</v>
      </c>
      <c r="G18" s="39" t="n">
        <v>195214</v>
      </c>
    </row>
    <row r="19" ht="15" customHeight="1">
      <c r="B19" s="12" t="inlineStr">
        <is>
          <t xml:space="preserve">  EBITDA Margin</t>
        </is>
      </c>
      <c r="C19" s="6" t="inlineStr">
        <is>
          <t>81.3%</t>
        </is>
      </c>
      <c r="D19" s="6" t="inlineStr">
        <is>
          <t>85.3%</t>
        </is>
      </c>
      <c r="E19" s="6" t="inlineStr">
        <is>
          <t>80.9%</t>
        </is>
      </c>
      <c r="F19" s="6" t="inlineStr">
        <is>
          <t>80.9%</t>
        </is>
      </c>
      <c r="G19" s="6" t="inlineStr">
        <is>
          <t>80.9%</t>
        </is>
      </c>
    </row>
    <row r="20" ht="15" customHeight="1">
      <c r="B20" s="34" t="inlineStr">
        <is>
          <t>Adj. EBITDA ($M)</t>
        </is>
      </c>
      <c r="C20" s="39" t="n">
        <v>88850</v>
      </c>
      <c r="D20" s="39" t="n">
        <v>145535</v>
      </c>
      <c r="E20" s="39" t="n">
        <v>130533</v>
      </c>
      <c r="F20" s="39" t="n">
        <v>143606</v>
      </c>
      <c r="G20" s="39" t="n">
        <v>157992</v>
      </c>
    </row>
    <row r="21" ht="15" customHeight="1">
      <c r="B21" s="12" t="inlineStr">
        <is>
          <t>(-) D&amp;A</t>
        </is>
      </c>
      <c r="C21" s="14" t="n">
        <v>-12000</v>
      </c>
      <c r="D21" s="14" t="n">
        <v>-14500</v>
      </c>
      <c r="E21" s="14" t="n">
        <v>-15000</v>
      </c>
      <c r="F21" s="14" t="n">
        <v>-15500</v>
      </c>
      <c r="G21" s="14" t="n">
        <v>-16000</v>
      </c>
    </row>
    <row r="22" ht="15" customHeight="1">
      <c r="B22" s="12" t="inlineStr">
        <is>
          <t>EBIT ($M)</t>
        </is>
      </c>
      <c r="C22" s="14" t="n">
        <v>76850</v>
      </c>
      <c r="D22" s="14" t="n">
        <v>131035</v>
      </c>
      <c r="E22" s="14" t="n">
        <v>115533</v>
      </c>
      <c r="F22" s="14" t="n">
        <v>128106</v>
      </c>
      <c r="G22" s="14" t="n">
        <v>141992</v>
      </c>
    </row>
    <row r="23" ht="15" customHeight="1">
      <c r="B23" s="12" t="inlineStr">
        <is>
          <t xml:space="preserve">  Tax Rate</t>
        </is>
      </c>
      <c r="C23" s="6" t="inlineStr">
        <is>
          <t>15.5%</t>
        </is>
      </c>
      <c r="D23" s="6" t="inlineStr">
        <is>
          <t>15.5%</t>
        </is>
      </c>
      <c r="E23" s="6" t="inlineStr">
        <is>
          <t>15.5%</t>
        </is>
      </c>
      <c r="F23" s="6" t="inlineStr">
        <is>
          <t>15.5%</t>
        </is>
      </c>
      <c r="G23" s="6" t="inlineStr">
        <is>
          <t>15.5%</t>
        </is>
      </c>
    </row>
    <row r="24" ht="15" customHeight="1">
      <c r="B24" s="34" t="inlineStr">
        <is>
          <t>NOPAT (EBIT×(1-T))</t>
        </is>
      </c>
      <c r="C24" s="39" t="n">
        <v>64938</v>
      </c>
      <c r="D24" s="39" t="n">
        <v>110685</v>
      </c>
      <c r="E24" s="39" t="n">
        <v>97575</v>
      </c>
      <c r="F24" s="39" t="n">
        <v>108150</v>
      </c>
      <c r="G24" s="39" t="n">
        <v>119933</v>
      </c>
    </row>
    <row r="25" ht="15" customHeight="1">
      <c r="B25" s="12" t="inlineStr">
        <is>
          <t>(+) D&amp;A</t>
        </is>
      </c>
      <c r="C25" s="14" t="n">
        <v>12000</v>
      </c>
      <c r="D25" s="14" t="n">
        <v>14500</v>
      </c>
      <c r="E25" s="14" t="n">
        <v>15000</v>
      </c>
      <c r="F25" s="14" t="n">
        <v>15500</v>
      </c>
      <c r="G25" s="14" t="n">
        <v>16000</v>
      </c>
    </row>
    <row r="26" ht="15" customHeight="1">
      <c r="B26" s="12" t="inlineStr">
        <is>
          <t>(-) CapEx</t>
        </is>
      </c>
      <c r="C26" s="14" t="n">
        <v>-20000</v>
      </c>
      <c r="D26" s="14" t="n">
        <v>-22000</v>
      </c>
      <c r="E26" s="14" t="n">
        <v>-20000</v>
      </c>
      <c r="F26" s="14" t="n">
        <v>-20000</v>
      </c>
      <c r="G26" s="14" t="n">
        <v>-21000</v>
      </c>
    </row>
    <row r="27" ht="15" customHeight="1">
      <c r="B27" s="12" t="inlineStr">
        <is>
          <t>(-) ΔWorking Capital</t>
        </is>
      </c>
      <c r="C27" s="14" t="n">
        <v>-2000</v>
      </c>
      <c r="D27" s="14" t="n">
        <v>-3000</v>
      </c>
      <c r="E27" s="14" t="n">
        <v>2000</v>
      </c>
      <c r="F27" s="14" t="n">
        <v>-1000</v>
      </c>
      <c r="G27" s="14" t="n">
        <v>-1000</v>
      </c>
    </row>
    <row r="28" ht="15" customHeight="1">
      <c r="B28" s="34" t="inlineStr">
        <is>
          <t>Unlevered FCF (UFCF)</t>
        </is>
      </c>
      <c r="C28" s="39" t="n">
        <v>54938</v>
      </c>
      <c r="D28" s="39" t="n">
        <v>100185</v>
      </c>
      <c r="E28" s="39" t="n">
        <v>94575</v>
      </c>
      <c r="F28" s="39" t="n">
        <v>102650</v>
      </c>
      <c r="G28" s="39" t="n">
        <v>113933</v>
      </c>
    </row>
    <row r="29" ht="15" customHeight="1"/>
    <row r="30" ht="15" customHeight="1">
      <c r="B30" s="12" t="inlineStr">
        <is>
          <t>Discount Factor (WACC=11.73%)</t>
        </is>
      </c>
      <c r="C30" s="6" t="inlineStr">
        <is>
          <t>0.895</t>
        </is>
      </c>
      <c r="D30" s="6" t="inlineStr">
        <is>
          <t>0.801</t>
        </is>
      </c>
      <c r="E30" s="6" t="inlineStr">
        <is>
          <t>0.717</t>
        </is>
      </c>
      <c r="F30" s="6" t="inlineStr">
        <is>
          <t>0.641</t>
        </is>
      </c>
      <c r="G30" s="6" t="inlineStr">
        <is>
          <t>0.574</t>
        </is>
      </c>
    </row>
    <row r="31" ht="15" customHeight="1">
      <c r="B31" s="34" t="inlineStr">
        <is>
          <t>PV of UFCF</t>
        </is>
      </c>
      <c r="C31" s="39" t="n">
        <v>49169</v>
      </c>
      <c r="D31" s="39" t="n">
        <v>80248</v>
      </c>
      <c r="E31" s="39" t="n">
        <v>67809</v>
      </c>
      <c r="F31" s="39" t="n">
        <v>65793</v>
      </c>
      <c r="G31" s="39" t="n">
        <v>65398</v>
      </c>
    </row>
    <row r="33">
      <c r="B33" s="10" t="inlineStr">
        <is>
          <t>TERMINAL VALUE &amp; ENTERPRISE VALUE BRIDGE</t>
        </is>
      </c>
      <c r="C33" s="2" t="n"/>
      <c r="D33" s="2" t="n"/>
      <c r="E33" s="2" t="n"/>
      <c r="F33" s="2" t="n"/>
      <c r="G33" s="2" t="n"/>
    </row>
    <row r="34" ht="16" customHeight="1">
      <c r="B34" s="12" t="inlineStr">
        <is>
          <t>Sum of PV(UFCF)</t>
        </is>
      </c>
      <c r="C34" s="14" t="n">
        <v>328417</v>
      </c>
    </row>
    <row r="35" ht="16" customHeight="1">
      <c r="B35" s="12" t="inlineStr">
        <is>
          <t>Terminal Growth Rate</t>
        </is>
      </c>
      <c r="C35" s="6" t="inlineStr">
        <is>
          <t>4.0%</t>
        </is>
      </c>
    </row>
    <row r="36" ht="16" customHeight="1">
      <c r="B36" s="12" t="inlineStr">
        <is>
          <t>Terminal Year UFCF</t>
        </is>
      </c>
      <c r="C36" s="14" t="n">
        <v>113933</v>
      </c>
    </row>
    <row r="37" ht="16" customHeight="1">
      <c r="B37" s="12" t="inlineStr">
        <is>
          <t>Terminal Value (Gordon Growth)</t>
        </is>
      </c>
      <c r="C37" s="14" t="n">
        <v>1579489</v>
      </c>
    </row>
    <row r="38" ht="16" customHeight="1">
      <c r="B38" s="12" t="inlineStr">
        <is>
          <t>PV of Terminal Value</t>
        </is>
      </c>
      <c r="C38" s="14" t="n">
        <v>907140</v>
      </c>
    </row>
    <row r="39" ht="16" customHeight="1">
      <c r="B39" s="12" t="inlineStr">
        <is>
          <t>TV as % of Total EV</t>
        </is>
      </c>
      <c r="C39" s="6" t="inlineStr">
        <is>
          <t>73.4%</t>
        </is>
      </c>
    </row>
    <row r="40" ht="16" customHeight="1"/>
    <row r="41" ht="16" customHeight="1">
      <c r="B41" s="12" t="inlineStr">
        <is>
          <t>Enterprise Value (DCF)</t>
        </is>
      </c>
      <c r="C41" s="14" t="n">
        <v>1238849</v>
      </c>
    </row>
    <row r="42" ht="16" customHeight="1">
      <c r="B42" s="12" t="inlineStr">
        <is>
          <t>(-) Net Debt (FY2025)</t>
        </is>
      </c>
      <c r="C42" s="14" t="n">
        <v>-5636</v>
      </c>
    </row>
    <row r="43" ht="16" customHeight="1">
      <c r="B43" s="12" t="inlineStr">
        <is>
          <t>Equity Value (DCF)</t>
        </is>
      </c>
      <c r="C43" s="14" t="n">
        <v>1233213</v>
      </c>
    </row>
    <row r="44" ht="16" customHeight="1">
      <c r="B44" s="12" t="inlineStr">
        <is>
          <t>Diluted Shares Outstanding (M)</t>
        </is>
      </c>
      <c r="C44" s="14" t="n">
        <v>1125</v>
      </c>
    </row>
    <row r="45" ht="16" customHeight="1">
      <c r="B45" s="12" t="inlineStr">
        <is>
          <t>DCF IMPLIED PRICE</t>
        </is>
      </c>
      <c r="C45" s="49" t="n">
        <v>1096</v>
      </c>
    </row>
    <row r="46" ht="16" customHeight="1"/>
    <row r="47" ht="16" customHeight="1">
      <c r="B47" s="12" t="inlineStr">
        <is>
          <t>Exit Multiple Cross-Check (EV/EBITDA = 12x)</t>
        </is>
      </c>
    </row>
    <row r="48" ht="16" customHeight="1">
      <c r="B48" s="12" t="inlineStr">
        <is>
          <t>Terminal EBITDA (FY2030)</t>
        </is>
      </c>
      <c r="C48" s="14" t="n">
        <v>157992</v>
      </c>
    </row>
    <row r="49" ht="16" customHeight="1">
      <c r="B49" s="12" t="inlineStr">
        <is>
          <t>Exit Multiple</t>
        </is>
      </c>
      <c r="C49" s="6" t="inlineStr">
        <is>
          <t>12.0x</t>
        </is>
      </c>
    </row>
    <row r="50" ht="16" customHeight="1">
      <c r="B50" s="12" t="inlineStr">
        <is>
          <t>Terminal Value (Exit)</t>
        </is>
      </c>
      <c r="C50" s="14" t="n">
        <v>1895904</v>
      </c>
    </row>
    <row r="51" ht="16" customHeight="1">
      <c r="B51" s="12" t="inlineStr">
        <is>
          <t>PV of Terminal Value (Exit)</t>
        </is>
      </c>
      <c r="C51" s="14" t="n">
        <v>1088179</v>
      </c>
    </row>
    <row r="52" ht="16" customHeight="1">
      <c r="B52" s="12" t="inlineStr">
        <is>
          <t>EV (Exit Multiple Method)</t>
        </is>
      </c>
      <c r="C52" s="14" t="n">
        <v>1416596</v>
      </c>
    </row>
    <row r="53" ht="16" customHeight="1">
      <c r="B53" s="12" t="inlineStr">
        <is>
          <t>Exit Multiple Implied Price</t>
        </is>
      </c>
      <c r="C53" s="49" t="n">
        <v>1252</v>
      </c>
    </row>
    <row r="54" ht="16" customHeight="1"/>
    <row r="55" ht="16" customHeight="1">
      <c r="B55" s="12" t="inlineStr">
        <is>
          <t>BLENDED PRICE TARGET (50% DCF / 50% Comps)</t>
        </is>
      </c>
    </row>
    <row r="56" ht="16" customHeight="1">
      <c r="B56" s="12" t="inlineStr">
        <is>
          <t>DCF Weight</t>
        </is>
      </c>
      <c r="C56" s="6" t="inlineStr">
        <is>
          <t>50%</t>
        </is>
      </c>
    </row>
    <row r="57" ht="16" customHeight="1">
      <c r="B57" s="12" t="inlineStr">
        <is>
          <t>Comps Weight</t>
        </is>
      </c>
      <c r="C57" s="6" t="inlineStr">
        <is>
          <t>50%</t>
        </is>
      </c>
    </row>
    <row r="58" ht="16" customHeight="1">
      <c r="B58" s="12" t="inlineStr">
        <is>
          <t>Comps Avg Implied Price</t>
        </is>
      </c>
      <c r="C58" s="49" t="n">
        <v>1285</v>
      </c>
    </row>
    <row r="59" ht="16" customHeight="1">
      <c r="B59" s="12" t="inlineStr">
        <is>
          <t>Blended Fair Value</t>
        </is>
      </c>
      <c r="C59" s="49" t="n">
        <v>1190</v>
      </c>
    </row>
    <row r="60" ht="16" customHeight="1">
      <c r="B60" s="48" t="inlineStr">
        <is>
          <t>PRICE TARGET (Rounded)</t>
        </is>
      </c>
      <c r="C60" s="50" t="n">
        <v>1000</v>
      </c>
      <c r="D60" s="48" t="n"/>
    </row>
    <row r="61" ht="16" customHeight="1">
      <c r="B61" s="12" t="inlineStr">
        <is>
          <t>Current Price</t>
        </is>
      </c>
      <c r="C61" s="49" t="n">
        <v>804.1</v>
      </c>
    </row>
    <row r="62" ht="16" customHeight="1">
      <c r="B62" s="48" t="inlineStr">
        <is>
          <t>UPSIDE TO PRICE TARGET</t>
        </is>
      </c>
      <c r="C62" s="4" t="inlineStr">
        <is>
          <t>24.4%</t>
        </is>
      </c>
      <c r="D62" s="48" t="n"/>
    </row>
    <row r="63" ht="16" customHeight="1">
      <c r="B63" s="48" t="inlineStr">
        <is>
          <t>RATING</t>
        </is>
      </c>
      <c r="C63" s="4" t="inlineStr">
        <is>
          <t>BUY</t>
        </is>
      </c>
      <c r="D63" s="48" t="n"/>
    </row>
  </sheetData>
  <mergeCells count="1">
    <mergeCell ref="B2:K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N44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28" customWidth="1" min="2" max="2"/>
  </cols>
  <sheetData>
    <row r="1" ht="8" customHeight="1"/>
    <row r="2" ht="35" customHeight="1">
      <c r="B2" s="29" t="inlineStr">
        <is>
          <t>SENSITIVITY ANALYSIS — DCF, COMPS &amp; SCENARIO COMPARISON</t>
        </is>
      </c>
    </row>
    <row r="4">
      <c r="B4" s="10" t="inlineStr">
        <is>
          <t>TABLE 1: DCF IMPLIED PRICE — WACC vs. Terminal Growth Rate</t>
        </is>
      </c>
      <c r="C4" s="2" t="n"/>
      <c r="D4" s="2" t="n"/>
      <c r="E4" s="2" t="n"/>
      <c r="F4" s="2" t="n"/>
      <c r="G4" s="2" t="n"/>
      <c r="H4" s="2" t="n"/>
      <c r="I4" s="2" t="n"/>
    </row>
    <row r="5">
      <c r="B5" s="4" t="inlineStr">
        <is>
          <t>WACC \ Term. Growth</t>
        </is>
      </c>
      <c r="C5" s="4" t="inlineStr">
        <is>
          <t>2.0%</t>
        </is>
      </c>
      <c r="D5" s="4" t="inlineStr">
        <is>
          <t>3.0%</t>
        </is>
      </c>
      <c r="E5" s="4" t="inlineStr">
        <is>
          <t>3.5%</t>
        </is>
      </c>
      <c r="F5" s="4" t="inlineStr">
        <is>
          <t>4.0%</t>
        </is>
      </c>
      <c r="G5" s="4" t="inlineStr">
        <is>
          <t>4.5%</t>
        </is>
      </c>
      <c r="H5" s="4" t="inlineStr">
        <is>
          <t>5.0%</t>
        </is>
      </c>
      <c r="I5" s="4" t="inlineStr">
        <is>
          <t>6.0%</t>
        </is>
      </c>
    </row>
    <row r="6" ht="16" customHeight="1">
      <c r="B6" s="47" t="inlineStr">
        <is>
          <t>9.00%</t>
        </is>
      </c>
      <c r="C6" s="51" t="n">
        <v>1246</v>
      </c>
      <c r="D6" s="51" t="n">
        <v>1417</v>
      </c>
      <c r="E6" s="51" t="n">
        <v>1526</v>
      </c>
      <c r="F6" s="51" t="n">
        <v>1656</v>
      </c>
      <c r="G6" s="51" t="n">
        <v>1815</v>
      </c>
      <c r="H6" s="51" t="n">
        <v>2015</v>
      </c>
      <c r="I6" s="51" t="n">
        <v>2613</v>
      </c>
    </row>
    <row r="7" ht="16" customHeight="1">
      <c r="B7" s="47" t="inlineStr">
        <is>
          <t>10.00%</t>
        </is>
      </c>
      <c r="C7" s="51" t="n">
        <v>1089</v>
      </c>
      <c r="D7" s="51" t="n">
        <v>1212</v>
      </c>
      <c r="E7" s="51" t="n">
        <v>1288</v>
      </c>
      <c r="F7" s="51" t="n">
        <v>1377</v>
      </c>
      <c r="G7" s="51" t="n">
        <v>1482</v>
      </c>
      <c r="H7" s="51" t="n">
        <v>1607</v>
      </c>
      <c r="I7" s="51" t="n">
        <v>1953</v>
      </c>
    </row>
    <row r="8" ht="16" customHeight="1">
      <c r="B8" s="47" t="inlineStr">
        <is>
          <t>10.73%</t>
        </is>
      </c>
      <c r="C8" s="52" t="n">
        <v>998</v>
      </c>
      <c r="D8" s="51" t="n">
        <v>1098</v>
      </c>
      <c r="E8" s="51" t="n">
        <v>1158</v>
      </c>
      <c r="F8" s="51" t="n">
        <v>1227</v>
      </c>
      <c r="G8" s="51" t="n">
        <v>1307</v>
      </c>
      <c r="H8" s="51" t="n">
        <v>1402</v>
      </c>
      <c r="I8" s="51" t="n">
        <v>1650</v>
      </c>
    </row>
    <row r="9" ht="16" customHeight="1">
      <c r="B9" s="53" t="inlineStr">
        <is>
          <t>11.73%</t>
        </is>
      </c>
      <c r="C9" s="52" t="n">
        <v>897</v>
      </c>
      <c r="D9" s="52" t="n">
        <v>973</v>
      </c>
      <c r="E9" s="51" t="n">
        <v>1018</v>
      </c>
      <c r="F9" s="54" t="n">
        <v>1069</v>
      </c>
      <c r="G9" s="51" t="n">
        <v>1128</v>
      </c>
      <c r="H9" s="51" t="n">
        <v>1194</v>
      </c>
      <c r="I9" s="51" t="n">
        <v>1363</v>
      </c>
    </row>
    <row r="10" ht="16" customHeight="1">
      <c r="B10" s="47" t="inlineStr">
        <is>
          <t>12.73%</t>
        </is>
      </c>
      <c r="C10" s="52" t="n">
        <v>816</v>
      </c>
      <c r="D10" s="52" t="n">
        <v>876</v>
      </c>
      <c r="E10" s="52" t="n">
        <v>911</v>
      </c>
      <c r="F10" s="52" t="n">
        <v>950</v>
      </c>
      <c r="G10" s="52" t="n">
        <v>993</v>
      </c>
      <c r="H10" s="51" t="n">
        <v>1043</v>
      </c>
      <c r="I10" s="51" t="n">
        <v>1163</v>
      </c>
    </row>
    <row r="11" ht="16" customHeight="1">
      <c r="B11" s="47" t="inlineStr">
        <is>
          <t>14.00%</t>
        </is>
      </c>
      <c r="C11" s="52" t="n">
        <v>734</v>
      </c>
      <c r="D11" s="52" t="n">
        <v>779</v>
      </c>
      <c r="E11" s="52" t="n">
        <v>805</v>
      </c>
      <c r="F11" s="52" t="n">
        <v>834</v>
      </c>
      <c r="G11" s="52" t="n">
        <v>865</v>
      </c>
      <c r="H11" s="52" t="n">
        <v>901</v>
      </c>
      <c r="I11" s="52" t="n">
        <v>984</v>
      </c>
    </row>
    <row r="12" ht="16" customHeight="1">
      <c r="B12" s="47" t="inlineStr">
        <is>
          <t>15.00%</t>
        </is>
      </c>
      <c r="C12" s="55" t="n">
        <v>682</v>
      </c>
      <c r="D12" s="52" t="n">
        <v>719</v>
      </c>
      <c r="E12" s="52" t="n">
        <v>740</v>
      </c>
      <c r="F12" s="52" t="n">
        <v>763</v>
      </c>
      <c r="G12" s="52" t="n">
        <v>788</v>
      </c>
      <c r="H12" s="52" t="n">
        <v>816</v>
      </c>
      <c r="I12" s="52" t="n">
        <v>880</v>
      </c>
    </row>
    <row r="15">
      <c r="B15" s="10" t="inlineStr">
        <is>
          <t>TABLE 2: COMPS-IMPLIED PRICE — FY2026E Revenue ($M) vs. EBITDA Margin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B16" s="4" t="inlineStr">
        <is>
          <t>Rev \ EBITDA Marg</t>
        </is>
      </c>
      <c r="C16" s="4" t="inlineStr">
        <is>
          <t>65%</t>
        </is>
      </c>
      <c r="D16" s="4" t="inlineStr">
        <is>
          <t>70%</t>
        </is>
      </c>
      <c r="E16" s="4" t="inlineStr">
        <is>
          <t>75%</t>
        </is>
      </c>
      <c r="F16" s="4" t="inlineStr">
        <is>
          <t>81%</t>
        </is>
      </c>
      <c r="G16" s="4" t="inlineStr">
        <is>
          <t>85%</t>
        </is>
      </c>
      <c r="H16" s="4" t="inlineStr">
        <is>
          <t>90%</t>
        </is>
      </c>
      <c r="I16" s="4" t="inlineStr">
        <is>
          <t>95%</t>
        </is>
      </c>
    </row>
    <row r="17" ht="16" customHeight="1">
      <c r="B17" s="47" t="inlineStr">
        <is>
          <t>$80,000M</t>
        </is>
      </c>
      <c r="C17" s="55" t="n">
        <v>550</v>
      </c>
      <c r="D17" s="55" t="n">
        <v>592</v>
      </c>
      <c r="E17" s="55" t="n">
        <v>635</v>
      </c>
      <c r="F17" s="55" t="n">
        <v>689</v>
      </c>
      <c r="G17" s="52" t="n">
        <v>720</v>
      </c>
      <c r="H17" s="52" t="n">
        <v>763</v>
      </c>
      <c r="I17" s="52" t="n">
        <v>806</v>
      </c>
    </row>
    <row r="18" ht="16" customHeight="1">
      <c r="B18" s="47" t="inlineStr">
        <is>
          <t>$90,000M</t>
        </is>
      </c>
      <c r="C18" s="55" t="n">
        <v>619</v>
      </c>
      <c r="D18" s="55" t="n">
        <v>667</v>
      </c>
      <c r="E18" s="52" t="n">
        <v>715</v>
      </c>
      <c r="F18" s="52" t="n">
        <v>775</v>
      </c>
      <c r="G18" s="52" t="n">
        <v>811</v>
      </c>
      <c r="H18" s="52" t="n">
        <v>859</v>
      </c>
      <c r="I18" s="52" t="n">
        <v>907</v>
      </c>
    </row>
    <row r="19" ht="16" customHeight="1">
      <c r="B19" s="47" t="inlineStr">
        <is>
          <t>$100,000M</t>
        </is>
      </c>
      <c r="C19" s="55" t="n">
        <v>688</v>
      </c>
      <c r="D19" s="52" t="n">
        <v>742</v>
      </c>
      <c r="E19" s="52" t="n">
        <v>795</v>
      </c>
      <c r="F19" s="52" t="n">
        <v>862</v>
      </c>
      <c r="G19" s="52" t="n">
        <v>902</v>
      </c>
      <c r="H19" s="52" t="n">
        <v>955</v>
      </c>
      <c r="I19" s="51" t="n">
        <v>1008</v>
      </c>
    </row>
    <row r="20" ht="16" customHeight="1">
      <c r="B20" s="56" t="inlineStr">
        <is>
          <t>$109,286M</t>
        </is>
      </c>
      <c r="C20" s="52" t="n">
        <v>753</v>
      </c>
      <c r="D20" s="52" t="n">
        <v>811</v>
      </c>
      <c r="E20" s="52" t="n">
        <v>869</v>
      </c>
      <c r="F20" s="54" t="n">
        <v>943</v>
      </c>
      <c r="G20" s="52" t="n">
        <v>986</v>
      </c>
      <c r="H20" s="51" t="n">
        <v>1044</v>
      </c>
      <c r="I20" s="51" t="n">
        <v>1102</v>
      </c>
    </row>
    <row r="21" ht="16" customHeight="1">
      <c r="B21" s="47" t="inlineStr">
        <is>
          <t>$120,000M</t>
        </is>
      </c>
      <c r="C21" s="52" t="n">
        <v>827</v>
      </c>
      <c r="D21" s="52" t="n">
        <v>891</v>
      </c>
      <c r="E21" s="52" t="n">
        <v>955</v>
      </c>
      <c r="F21" s="51" t="n">
        <v>1036</v>
      </c>
      <c r="G21" s="51" t="n">
        <v>1083</v>
      </c>
      <c r="H21" s="51" t="n">
        <v>1147</v>
      </c>
      <c r="I21" s="51" t="n">
        <v>1211</v>
      </c>
    </row>
    <row r="22" ht="16" customHeight="1">
      <c r="B22" s="47" t="inlineStr">
        <is>
          <t>$130,000M</t>
        </is>
      </c>
      <c r="C22" s="52" t="n">
        <v>896</v>
      </c>
      <c r="D22" s="52" t="n">
        <v>966</v>
      </c>
      <c r="E22" s="51" t="n">
        <v>1035</v>
      </c>
      <c r="F22" s="51" t="n">
        <v>1122</v>
      </c>
      <c r="G22" s="51" t="n">
        <v>1174</v>
      </c>
      <c r="H22" s="51" t="n">
        <v>1243</v>
      </c>
      <c r="I22" s="51" t="n">
        <v>1312</v>
      </c>
    </row>
    <row r="23" ht="16" customHeight="1">
      <c r="B23" s="47" t="inlineStr">
        <is>
          <t>$145,000M</t>
        </is>
      </c>
      <c r="C23" s="51" t="n">
        <v>1000</v>
      </c>
      <c r="D23" s="51" t="n">
        <v>1078</v>
      </c>
      <c r="E23" s="51" t="n">
        <v>1155</v>
      </c>
      <c r="F23" s="51" t="n">
        <v>1252</v>
      </c>
      <c r="G23" s="51" t="n">
        <v>1310</v>
      </c>
      <c r="H23" s="51" t="n">
        <v>1387</v>
      </c>
      <c r="I23" s="51" t="n">
        <v>1464</v>
      </c>
    </row>
    <row r="26">
      <c r="B26" s="10" t="inlineStr">
        <is>
          <t>TABLE 3: BULL / BASE / BEAR SCENARIO COMPARISON</t>
        </is>
      </c>
      <c r="C26" s="2" t="n"/>
      <c r="D26" s="2" t="n"/>
      <c r="E26" s="2" t="n"/>
      <c r="F26" s="2" t="n"/>
      <c r="G26" s="2" t="n"/>
      <c r="H26" s="2" t="n"/>
    </row>
    <row r="27">
      <c r="B27" s="4" t="inlineStr">
        <is>
          <t>Metric</t>
        </is>
      </c>
      <c r="C27" s="4" t="inlineStr">
        <is>
          <t>Bear Case</t>
        </is>
      </c>
      <c r="D27" s="4" t="inlineStr"/>
      <c r="E27" s="4" t="inlineStr">
        <is>
          <t>Base Case</t>
        </is>
      </c>
      <c r="F27" s="4" t="inlineStr"/>
      <c r="G27" s="4" t="inlineStr">
        <is>
          <t>Bull Case</t>
        </is>
      </c>
      <c r="H27" s="4" t="inlineStr"/>
    </row>
    <row r="28" ht="16" customHeight="1">
      <c r="B28" s="7" t="inlineStr">
        <is>
          <t>FY2026E Revenue ($M)</t>
        </is>
      </c>
      <c r="C28" s="57" t="inlineStr">
        <is>
          <t>$95,000</t>
        </is>
      </c>
      <c r="D28" s="8" t="inlineStr"/>
      <c r="E28" s="58" t="inlineStr">
        <is>
          <t>$109,286</t>
        </is>
      </c>
      <c r="F28" s="8" t="inlineStr"/>
      <c r="G28" s="59" t="inlineStr">
        <is>
          <t>$115,000</t>
        </is>
      </c>
      <c r="H28" s="8" t="inlineStr"/>
    </row>
    <row r="29" ht="16" customHeight="1">
      <c r="B29" s="5" t="inlineStr">
        <is>
          <t>FY2026E EBITDA Margin</t>
        </is>
      </c>
      <c r="C29" s="57" t="inlineStr">
        <is>
          <t>70%</t>
        </is>
      </c>
      <c r="D29" s="6" t="inlineStr"/>
      <c r="E29" s="58" t="inlineStr">
        <is>
          <t>81.3%</t>
        </is>
      </c>
      <c r="F29" s="6" t="inlineStr"/>
      <c r="G29" s="59" t="inlineStr">
        <is>
          <t>86%</t>
        </is>
      </c>
      <c r="H29" s="6" t="inlineStr"/>
    </row>
    <row r="30" ht="16" customHeight="1">
      <c r="B30" s="7" t="inlineStr">
        <is>
          <t>FY2026E Net Income ($M)</t>
        </is>
      </c>
      <c r="C30" s="57" t="inlineStr">
        <is>
          <t>$47,000</t>
        </is>
      </c>
      <c r="D30" s="8" t="inlineStr"/>
      <c r="E30" s="58" t="inlineStr">
        <is>
          <t>$66,055</t>
        </is>
      </c>
      <c r="F30" s="8" t="inlineStr"/>
      <c r="G30" s="59" t="inlineStr">
        <is>
          <t>$72,000</t>
        </is>
      </c>
      <c r="H30" s="8" t="inlineStr"/>
    </row>
    <row r="31" ht="16" customHeight="1">
      <c r="B31" s="5" t="inlineStr">
        <is>
          <t>FY2026E EPS</t>
        </is>
      </c>
      <c r="C31" s="57" t="inlineStr">
        <is>
          <t>$41.78</t>
        </is>
      </c>
      <c r="D31" s="6" t="inlineStr"/>
      <c r="E31" s="58" t="inlineStr">
        <is>
          <t>$58.70</t>
        </is>
      </c>
      <c r="F31" s="6" t="inlineStr"/>
      <c r="G31" s="59" t="inlineStr">
        <is>
          <t>$64.00</t>
        </is>
      </c>
      <c r="H31" s="6" t="inlineStr"/>
    </row>
    <row r="32" ht="16" customHeight="1">
      <c r="B32" s="7" t="inlineStr">
        <is>
          <t>FY2027E Revenue ($M)</t>
        </is>
      </c>
      <c r="C32" s="57" t="inlineStr">
        <is>
          <t>$130,000</t>
        </is>
      </c>
      <c r="D32" s="8" t="inlineStr"/>
      <c r="E32" s="58" t="inlineStr">
        <is>
          <t>$170,657</t>
        </is>
      </c>
      <c r="F32" s="8" t="inlineStr"/>
      <c r="G32" s="59" t="inlineStr">
        <is>
          <t>$185,000</t>
        </is>
      </c>
      <c r="H32" s="8" t="inlineStr"/>
    </row>
    <row r="33" ht="16" customHeight="1">
      <c r="B33" s="5" t="inlineStr">
        <is>
          <t>FY2027E EBITDA Margin</t>
        </is>
      </c>
      <c r="C33" s="57" t="inlineStr">
        <is>
          <t>75%</t>
        </is>
      </c>
      <c r="D33" s="6" t="inlineStr"/>
      <c r="E33" s="58" t="inlineStr">
        <is>
          <t>85.3%</t>
        </is>
      </c>
      <c r="F33" s="6" t="inlineStr"/>
      <c r="G33" s="59" t="inlineStr">
        <is>
          <t>88%</t>
        </is>
      </c>
      <c r="H33" s="6" t="inlineStr"/>
    </row>
    <row r="34" ht="16" customHeight="1">
      <c r="B34" s="7" t="inlineStr">
        <is>
          <t>P/E Applied (NTM)</t>
        </is>
      </c>
      <c r="C34" s="57" t="inlineStr">
        <is>
          <t>20x</t>
        </is>
      </c>
      <c r="D34" s="8" t="inlineStr"/>
      <c r="E34" s="58" t="inlineStr">
        <is>
          <t>25x</t>
        </is>
      </c>
      <c r="F34" s="8" t="inlineStr"/>
      <c r="G34" s="59" t="inlineStr">
        <is>
          <t>28x</t>
        </is>
      </c>
      <c r="H34" s="8" t="inlineStr"/>
    </row>
    <row r="35" ht="16" customHeight="1">
      <c r="B35" s="5" t="inlineStr">
        <is>
          <t>EV/EBITDA Applied (NTM)</t>
        </is>
      </c>
      <c r="C35" s="57" t="inlineStr">
        <is>
          <t>10x</t>
        </is>
      </c>
      <c r="D35" s="6" t="inlineStr"/>
      <c r="E35" s="58" t="inlineStr">
        <is>
          <t>14x</t>
        </is>
      </c>
      <c r="F35" s="6" t="inlineStr"/>
      <c r="G35" s="59" t="inlineStr">
        <is>
          <t>16x</t>
        </is>
      </c>
      <c r="H35" s="6" t="inlineStr"/>
    </row>
    <row r="36" ht="16" customHeight="1">
      <c r="B36" s="7" t="inlineStr">
        <is>
          <t>Implied Price (P/E)</t>
        </is>
      </c>
      <c r="C36" s="57" t="inlineStr">
        <is>
          <t>$836</t>
        </is>
      </c>
      <c r="D36" s="8" t="inlineStr"/>
      <c r="E36" s="58" t="inlineStr">
        <is>
          <t>$1,468</t>
        </is>
      </c>
      <c r="F36" s="8" t="inlineStr"/>
      <c r="G36" s="59" t="inlineStr">
        <is>
          <t>$1,792</t>
        </is>
      </c>
      <c r="H36" s="8" t="inlineStr"/>
    </row>
    <row r="37" ht="16" customHeight="1">
      <c r="B37" s="5" t="inlineStr">
        <is>
          <t>Implied Price (EV/EBITDA)</t>
        </is>
      </c>
      <c r="C37" s="57" t="inlineStr">
        <is>
          <t>$661</t>
        </is>
      </c>
      <c r="D37" s="6" t="inlineStr"/>
      <c r="E37" s="58" t="inlineStr">
        <is>
          <t>$1,101</t>
        </is>
      </c>
      <c r="F37" s="6" t="inlineStr"/>
      <c r="G37" s="59" t="inlineStr">
        <is>
          <t>$1,338</t>
        </is>
      </c>
      <c r="H37" s="6" t="inlineStr"/>
    </row>
    <row r="38" ht="16" customHeight="1">
      <c r="B38" s="7" t="inlineStr">
        <is>
          <t>Implied Price (DCF)</t>
        </is>
      </c>
      <c r="C38" s="57" t="inlineStr">
        <is>
          <t>$680</t>
        </is>
      </c>
      <c r="D38" s="8" t="inlineStr"/>
      <c r="E38" s="58" t="inlineStr">
        <is>
          <t>$1,096</t>
        </is>
      </c>
      <c r="F38" s="8" t="inlineStr"/>
      <c r="G38" s="59" t="inlineStr">
        <is>
          <t>$1,350</t>
        </is>
      </c>
      <c r="H38" s="8" t="inlineStr"/>
    </row>
    <row r="39" ht="16" customHeight="1">
      <c r="B39" s="5" t="inlineStr">
        <is>
          <t>Weighted Price Target</t>
        </is>
      </c>
      <c r="C39" s="57" t="inlineStr">
        <is>
          <t>$726</t>
        </is>
      </c>
      <c r="D39" s="6" t="inlineStr"/>
      <c r="E39" s="58" t="inlineStr">
        <is>
          <t>$1,000</t>
        </is>
      </c>
      <c r="F39" s="6" t="inlineStr"/>
      <c r="G39" s="59" t="inlineStr">
        <is>
          <t>$1,493</t>
        </is>
      </c>
      <c r="H39" s="6" t="inlineStr"/>
    </row>
    <row r="40" ht="16" customHeight="1">
      <c r="B40" s="7" t="inlineStr">
        <is>
          <t>Upside/(Downside)</t>
        </is>
      </c>
      <c r="C40" s="57" t="inlineStr">
        <is>
          <t>-9.7%</t>
        </is>
      </c>
      <c r="D40" s="8" t="inlineStr"/>
      <c r="E40" s="58" t="inlineStr">
        <is>
          <t>+24.4%</t>
        </is>
      </c>
      <c r="F40" s="8" t="inlineStr"/>
      <c r="G40" s="59" t="inlineStr">
        <is>
          <t>+85.7%</t>
        </is>
      </c>
      <c r="H40" s="8" t="inlineStr"/>
    </row>
    <row r="41" ht="16" customHeight="1">
      <c r="B41" s="5" t="inlineStr">
        <is>
          <t>Rating</t>
        </is>
      </c>
      <c r="C41" s="57" t="inlineStr">
        <is>
          <t>HOLD</t>
        </is>
      </c>
      <c r="D41" s="6" t="inlineStr"/>
      <c r="E41" s="58" t="inlineStr">
        <is>
          <t>BUY</t>
        </is>
      </c>
      <c r="F41" s="6" t="inlineStr"/>
      <c r="G41" s="59" t="inlineStr">
        <is>
          <t>STRONG BUY</t>
        </is>
      </c>
      <c r="H41" s="6" t="inlineStr"/>
    </row>
    <row r="44">
      <c r="B44" s="28" t="inlineStr">
        <is>
          <t>Note: Base case uses consensus estimates for FY2026–FY2028. Bull/Bear cases reflect +/-10-15% revenue variance with corresponding margin adjustments. P/E and EV/EBITDA multiples reflect peer analysis discount for memory cycle risk.</t>
        </is>
      </c>
    </row>
  </sheetData>
  <mergeCells count="1"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M30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28" customWidth="1" min="2" max="2"/>
    <col width="1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 ht="8" customHeight="1"/>
    <row r="2" ht="35" customHeight="1">
      <c r="B2" s="29" t="inlineStr">
        <is>
          <t>COMPARABLE COMPANIES ANALYSIS — MICRON TECHNOLOGY (MU)</t>
        </is>
      </c>
    </row>
    <row r="4">
      <c r="B4" s="4" t="inlineStr">
        <is>
          <t>Company</t>
        </is>
      </c>
      <c r="C4" s="4" t="inlineStr">
        <is>
          <t>Ticker</t>
        </is>
      </c>
      <c r="D4" s="4" t="inlineStr">
        <is>
          <t>Market Cap ($B)</t>
        </is>
      </c>
      <c r="E4" s="4" t="inlineStr">
        <is>
          <t>Revenue ($B)</t>
        </is>
      </c>
      <c r="F4" s="4" t="inlineStr">
        <is>
          <t>EBITDA Margin</t>
        </is>
      </c>
      <c r="G4" s="4" t="inlineStr">
        <is>
          <t>Net Margin</t>
        </is>
      </c>
      <c r="H4" s="4" t="inlineStr">
        <is>
          <t>Rev Growth</t>
        </is>
      </c>
      <c r="I4" s="4" t="inlineStr">
        <is>
          <t>P/E (TTM)</t>
        </is>
      </c>
      <c r="J4" s="4" t="inlineStr">
        <is>
          <t>EV/EBITDA (TTM)</t>
        </is>
      </c>
      <c r="K4" s="4" t="inlineStr">
        <is>
          <t>P/S (TTM)</t>
        </is>
      </c>
      <c r="L4" s="4" t="inlineStr">
        <is>
          <t>EV/Revenue</t>
        </is>
      </c>
      <c r="M4" s="4" t="inlineStr">
        <is>
          <t>Notes</t>
        </is>
      </c>
    </row>
    <row r="5" ht="18" customHeight="1">
      <c r="B5" s="60" t="inlineStr">
        <is>
          <t>Micron Technology</t>
        </is>
      </c>
      <c r="C5" s="56" t="inlineStr">
        <is>
          <t>MU</t>
        </is>
      </c>
      <c r="D5" s="56" t="n">
        <v>907.7</v>
      </c>
      <c r="E5" s="56" t="n">
        <v>95.5</v>
      </c>
      <c r="F5" s="56" t="inlineStr">
        <is>
          <t>58.3%</t>
        </is>
      </c>
      <c r="G5" s="56" t="inlineStr">
        <is>
          <t>34.2%</t>
        </is>
      </c>
      <c r="H5" s="56" t="inlineStr">
        <is>
          <t>196.3%</t>
        </is>
      </c>
      <c r="I5" s="56" t="n">
        <v>27.8</v>
      </c>
      <c r="J5" s="56" t="n">
        <v>16.3</v>
      </c>
      <c r="K5" s="56" t="n">
        <v>9.5</v>
      </c>
      <c r="L5" s="56" t="n">
        <v>9.5</v>
      </c>
      <c r="M5" s="56" t="inlineStr">
        <is>
          <t>**Subject Company**</t>
        </is>
      </c>
    </row>
    <row r="6" ht="18" customHeight="1">
      <c r="B6" s="61" t="inlineStr">
        <is>
          <t>NVIDIA Corp</t>
        </is>
      </c>
      <c r="C6" s="8" t="inlineStr">
        <is>
          <t>NVDA</t>
        </is>
      </c>
      <c r="D6" s="8" t="n">
        <v>5364.9</v>
      </c>
      <c r="E6" s="8" t="n">
        <v>431.9</v>
      </c>
      <c r="F6" s="8" t="inlineStr">
        <is>
          <t>66.9%</t>
        </is>
      </c>
      <c r="G6" s="8" t="inlineStr">
        <is>
          <t>55.6%</t>
        </is>
      </c>
      <c r="H6" s="8" t="inlineStr">
        <is>
          <t>73.2%</t>
        </is>
      </c>
      <c r="I6" s="8" t="n">
        <v>22.3</v>
      </c>
      <c r="J6" s="8" t="n">
        <v>18.6</v>
      </c>
      <c r="K6" s="8" t="n">
        <v>12.4</v>
      </c>
      <c r="L6" s="8" t="n">
        <v>12.4</v>
      </c>
      <c r="M6" s="8" t="inlineStr">
        <is>
          <t>AI GPU leader; MU key customer</t>
        </is>
      </c>
    </row>
    <row r="7" ht="18" customHeight="1">
      <c r="B7" s="62" t="inlineStr">
        <is>
          <t>Western Digital</t>
        </is>
      </c>
      <c r="C7" s="63" t="inlineStr">
        <is>
          <t>WDC</t>
        </is>
      </c>
      <c r="D7" s="63" t="n">
        <v>178.5</v>
      </c>
      <c r="E7" s="63" t="n">
        <v>21.3</v>
      </c>
      <c r="F7" s="63" t="inlineStr">
        <is>
          <t>34.1%</t>
        </is>
      </c>
      <c r="G7" s="63" t="inlineStr">
        <is>
          <t>39.2%</t>
        </is>
      </c>
      <c r="H7" s="63" t="inlineStr">
        <is>
          <t>45.5%</t>
        </is>
      </c>
      <c r="I7" s="63" t="n">
        <v>21.4</v>
      </c>
      <c r="J7" s="63" t="n">
        <v>24.5</v>
      </c>
      <c r="K7" s="63" t="n">
        <v>8.4</v>
      </c>
      <c r="L7" s="63" t="n">
        <v>8.4</v>
      </c>
      <c r="M7" s="63" t="inlineStr">
        <is>
          <t>NAND direct competitor</t>
        </is>
      </c>
    </row>
    <row r="8" ht="18" customHeight="1">
      <c r="B8" s="61" t="inlineStr">
        <is>
          <t>Seagate Technology</t>
        </is>
      </c>
      <c r="C8" s="8" t="inlineStr">
        <is>
          <t>STX</t>
        </is>
      </c>
      <c r="D8" s="8" t="n">
        <v>187.7</v>
      </c>
      <c r="E8" s="8" t="n">
        <v>20.1</v>
      </c>
      <c r="F8" s="8" t="inlineStr">
        <is>
          <t>26.8%</t>
        </is>
      </c>
      <c r="G8" s="8" t="inlineStr">
        <is>
          <t>19.1%</t>
        </is>
      </c>
      <c r="H8" s="8" t="inlineStr">
        <is>
          <t>44.1%</t>
        </is>
      </c>
      <c r="I8" s="8" t="n">
        <v>48.8</v>
      </c>
      <c r="J8" s="8" t="n">
        <v>34.6</v>
      </c>
      <c r="K8" s="8" t="n">
        <v>9.300000000000001</v>
      </c>
      <c r="L8" s="8" t="n">
        <v>9.300000000000001</v>
      </c>
      <c r="M8" s="8" t="inlineStr">
        <is>
          <t>Storage peer</t>
        </is>
      </c>
    </row>
    <row r="9" ht="18" customHeight="1">
      <c r="B9" s="62" t="inlineStr">
        <is>
          <t>Intel Corp</t>
        </is>
      </c>
      <c r="C9" s="63" t="inlineStr">
        <is>
          <t>INTC</t>
        </is>
      </c>
      <c r="D9" s="63" t="n">
        <v>643.6</v>
      </c>
      <c r="E9" s="63" t="n">
        <v>106.6</v>
      </c>
      <c r="F9" s="63" t="inlineStr">
        <is>
          <t>24.2%</t>
        </is>
      </c>
      <c r="G9" s="63" t="inlineStr">
        <is>
          <t>-3.2%</t>
        </is>
      </c>
      <c r="H9" s="63" t="inlineStr">
        <is>
          <t>7.2%</t>
        </is>
      </c>
      <c r="I9" s="63" t="inlineStr">
        <is>
          <t>NM</t>
        </is>
      </c>
      <c r="J9" s="63" t="n">
        <v>26.1</v>
      </c>
      <c r="K9" s="63" t="n">
        <v>6</v>
      </c>
      <c r="L9" s="63" t="n">
        <v>6.3</v>
      </c>
      <c r="M9" s="63" t="inlineStr">
        <is>
          <t>Diversified semis; restructuring</t>
        </is>
      </c>
    </row>
    <row r="10" ht="18" customHeight="1">
      <c r="B10" s="61" t="inlineStr">
        <is>
          <t>Samsung Electronics</t>
        </is>
      </c>
      <c r="C10" s="8" t="inlineStr">
        <is>
          <t>005930.KS</t>
        </is>
      </c>
      <c r="D10" s="8" t="inlineStr">
        <is>
          <t>~$250B</t>
        </is>
      </c>
      <c r="E10" s="8" t="inlineStr">
        <is>
          <t>~$187B</t>
        </is>
      </c>
      <c r="F10" s="8" t="inlineStr">
        <is>
          <t>~32%</t>
        </is>
      </c>
      <c r="G10" s="8" t="inlineStr">
        <is>
          <t>~12%</t>
        </is>
      </c>
      <c r="H10" s="8" t="inlineStr">
        <is>
          <t>~15%</t>
        </is>
      </c>
      <c r="I10" s="8" t="inlineStr">
        <is>
          <t>~22x</t>
        </is>
      </c>
      <c r="J10" s="8" t="inlineStr">
        <is>
          <t>~12x</t>
        </is>
      </c>
      <c r="K10" s="8" t="inlineStr">
        <is>
          <t>~1.5x</t>
        </is>
      </c>
      <c r="L10" s="8" t="inlineStr">
        <is>
          <t>~1.5x</t>
        </is>
      </c>
      <c r="M10" s="8" t="inlineStr">
        <is>
          <t>DRAM #2 (HBM struggles)</t>
        </is>
      </c>
    </row>
    <row r="11" ht="18" customHeight="1">
      <c r="B11" s="62" t="inlineStr">
        <is>
          <t>SK Hynix</t>
        </is>
      </c>
      <c r="C11" s="63" t="inlineStr">
        <is>
          <t>000660.KS</t>
        </is>
      </c>
      <c r="D11" s="63" t="inlineStr">
        <is>
          <t>~$89B</t>
        </is>
      </c>
      <c r="E11" s="63" t="inlineStr">
        <is>
          <t>~$52B</t>
        </is>
      </c>
      <c r="F11" s="63" t="inlineStr">
        <is>
          <t>~48%</t>
        </is>
      </c>
      <c r="G11" s="63" t="inlineStr">
        <is>
          <t>~23%</t>
        </is>
      </c>
      <c r="H11" s="63" t="inlineStr">
        <is>
          <t>~40%</t>
        </is>
      </c>
      <c r="I11" s="63" t="inlineStr">
        <is>
          <t>~18x</t>
        </is>
      </c>
      <c r="J11" s="63" t="inlineStr">
        <is>
          <t>~8x</t>
        </is>
      </c>
      <c r="K11" s="63" t="inlineStr">
        <is>
          <t>~2.0x</t>
        </is>
      </c>
      <c r="L11" s="63" t="inlineStr">
        <is>
          <t>~2.0x</t>
        </is>
      </c>
      <c r="M11" s="63" t="inlineStr">
        <is>
          <t>DRAM #1 (HBM leader)</t>
        </is>
      </c>
    </row>
    <row r="13">
      <c r="B13" s="10" t="inlineStr">
        <is>
          <t>PEER STATISTICS (US-listed comps)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B14" s="4" t="inlineStr">
        <is>
          <t>Statistic</t>
        </is>
      </c>
      <c r="C14" s="4" t="inlineStr"/>
      <c r="D14" s="4" t="inlineStr">
        <is>
          <t>Market Cap ($B)</t>
        </is>
      </c>
      <c r="E14" s="4" t="inlineStr">
        <is>
          <t>Revenue ($B)</t>
        </is>
      </c>
      <c r="F14" s="4" t="inlineStr">
        <is>
          <t>EBITDA Margin</t>
        </is>
      </c>
      <c r="G14" s="4" t="inlineStr">
        <is>
          <t>Net Margin</t>
        </is>
      </c>
      <c r="H14" s="4" t="inlineStr">
        <is>
          <t>Rev Growth</t>
        </is>
      </c>
      <c r="I14" s="4" t="inlineStr">
        <is>
          <t>P/E</t>
        </is>
      </c>
      <c r="J14" s="4" t="inlineStr">
        <is>
          <t>EV/EBITDA</t>
        </is>
      </c>
      <c r="K14" s="4" t="inlineStr">
        <is>
          <t>P/S</t>
        </is>
      </c>
      <c r="L14" s="4" t="inlineStr">
        <is>
          <t>EV/Rev</t>
        </is>
      </c>
      <c r="M14" s="4" t="inlineStr"/>
    </row>
    <row r="15" ht="16" customHeight="1">
      <c r="B15" s="5" t="inlineStr">
        <is>
          <t>Mean (excl. MU &amp; non-US)</t>
        </is>
      </c>
      <c r="C15" s="6" t="inlineStr"/>
      <c r="D15" s="6" t="n">
        <v>303.2</v>
      </c>
      <c r="E15" s="6" t="inlineStr">
        <is>
          <t>33.7%</t>
        </is>
      </c>
      <c r="F15" s="6" t="inlineStr">
        <is>
          <t>27.6%</t>
        </is>
      </c>
      <c r="G15" s="6" t="inlineStr">
        <is>
          <t>32.3%</t>
        </is>
      </c>
      <c r="H15" s="6" t="n">
        <v>30.8</v>
      </c>
      <c r="I15" s="6" t="n">
        <v>26.4</v>
      </c>
      <c r="J15" s="6" t="n">
        <v>8.6</v>
      </c>
      <c r="K15" s="6" t="n">
        <v>8.5</v>
      </c>
    </row>
    <row r="16" ht="16" customHeight="1">
      <c r="B16" s="5" t="inlineStr">
        <is>
          <t>Median (excl. MU &amp; non-US)</t>
        </is>
      </c>
      <c r="C16" s="6" t="inlineStr"/>
      <c r="D16" s="6" t="n">
        <v>183.1</v>
      </c>
      <c r="E16" s="6" t="inlineStr">
        <is>
          <t>30.5%</t>
        </is>
      </c>
      <c r="F16" s="6" t="inlineStr">
        <is>
          <t>19.1%</t>
        </is>
      </c>
      <c r="G16" s="6" t="inlineStr">
        <is>
          <t>45.5%</t>
        </is>
      </c>
      <c r="H16" s="6" t="n">
        <v>21.4</v>
      </c>
      <c r="I16" s="6" t="n">
        <v>25.3</v>
      </c>
      <c r="J16" s="6" t="n">
        <v>8.9</v>
      </c>
      <c r="K16" s="6" t="n">
        <v>8.9</v>
      </c>
    </row>
    <row r="17" ht="16" customHeight="1">
      <c r="B17" s="5" t="inlineStr">
        <is>
          <t>25th Percentile</t>
        </is>
      </c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</row>
    <row r="18" ht="16" customHeight="1">
      <c r="B18" s="5" t="inlineStr">
        <is>
          <t>75th Percentile</t>
        </is>
      </c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</row>
    <row r="21">
      <c r="B21" s="10" t="inlineStr">
        <is>
          <t>COMPS-IMPLIED VALUATION FOR MU (FY2026E Estimates)</t>
        </is>
      </c>
      <c r="C21" s="2" t="n"/>
      <c r="D21" s="2" t="n"/>
      <c r="E21" s="2" t="n"/>
      <c r="F21" s="2" t="n"/>
      <c r="G21" s="2" t="n"/>
      <c r="H21" s="2" t="n"/>
    </row>
    <row r="22">
      <c r="B22" s="4" t="inlineStr">
        <is>
          <t>Method</t>
        </is>
      </c>
      <c r="C22" s="4" t="inlineStr">
        <is>
          <t>Multiple Applied</t>
        </is>
      </c>
      <c r="D22" s="4" t="inlineStr">
        <is>
          <t>MU FY2026E Metric</t>
        </is>
      </c>
      <c r="E22" s="4" t="inlineStr">
        <is>
          <t>Implied EV ($M)</t>
        </is>
      </c>
      <c r="F22" s="4" t="inlineStr">
        <is>
          <t>Implied Equity ($M)</t>
        </is>
      </c>
      <c r="G22" s="4" t="inlineStr">
        <is>
          <t>Implied Price</t>
        </is>
      </c>
      <c r="H22" s="4" t="inlineStr">
        <is>
          <t>Upside/(Down)</t>
        </is>
      </c>
    </row>
    <row r="23" ht="16" customHeight="1">
      <c r="B23" s="8" t="inlineStr">
        <is>
          <t>P/E (25x)</t>
        </is>
      </c>
      <c r="C23" s="8" t="inlineStr">
        <is>
          <t>25x</t>
        </is>
      </c>
      <c r="D23" s="8" t="inlineStr">
        <is>
          <t>$66,055M NI</t>
        </is>
      </c>
      <c r="E23" s="8" t="inlineStr">
        <is>
          <t>N/A</t>
        </is>
      </c>
      <c r="F23" s="8" t="inlineStr">
        <is>
          <t>$1,651,375M</t>
        </is>
      </c>
      <c r="G23" s="8" t="inlineStr">
        <is>
          <t>$1,468</t>
        </is>
      </c>
      <c r="H23" s="8" t="inlineStr">
        <is>
          <t>82.6%</t>
        </is>
      </c>
    </row>
    <row r="24" ht="16" customHeight="1">
      <c r="B24" s="6" t="inlineStr">
        <is>
          <t>EV/EBITDA (14x)</t>
        </is>
      </c>
      <c r="C24" s="6" t="inlineStr">
        <is>
          <t>14x</t>
        </is>
      </c>
      <c r="D24" s="6" t="inlineStr">
        <is>
          <t>$88,900M EBITDA</t>
        </is>
      </c>
      <c r="E24" s="6" t="inlineStr">
        <is>
          <t>$1,244,600M</t>
        </is>
      </c>
      <c r="F24" s="6" t="inlineStr">
        <is>
          <t>$1,238,964M</t>
        </is>
      </c>
      <c r="G24" s="6" t="inlineStr">
        <is>
          <t>$1,101</t>
        </is>
      </c>
      <c r="H24" s="6" t="inlineStr">
        <is>
          <t>37.0%</t>
        </is>
      </c>
    </row>
    <row r="25" ht="16" customHeight="1">
      <c r="B25" s="8" t="inlineStr">
        <is>
          <t>P/S (8x)</t>
        </is>
      </c>
      <c r="C25" s="8" t="inlineStr">
        <is>
          <t>8x</t>
        </is>
      </c>
      <c r="D25" s="8" t="inlineStr">
        <is>
          <t>$109,286M Rev</t>
        </is>
      </c>
      <c r="E25" s="8" t="inlineStr">
        <is>
          <t>N/A</t>
        </is>
      </c>
      <c r="F25" s="8" t="inlineStr">
        <is>
          <t>$874,288M</t>
        </is>
      </c>
      <c r="G25" s="8" t="inlineStr">
        <is>
          <t>$777</t>
        </is>
      </c>
      <c r="H25" s="8" t="inlineStr">
        <is>
          <t>-3.4%</t>
        </is>
      </c>
    </row>
    <row r="26" ht="16" customHeight="1">
      <c r="B26" s="6" t="inlineStr">
        <is>
          <t>EV/Revenue (9x)</t>
        </is>
      </c>
      <c r="C26" s="6" t="inlineStr">
        <is>
          <t>9x</t>
        </is>
      </c>
      <c r="D26" s="6" t="inlineStr">
        <is>
          <t>$109,286M Rev</t>
        </is>
      </c>
      <c r="E26" s="6" t="inlineStr">
        <is>
          <t>$983,574M</t>
        </is>
      </c>
      <c r="F26" s="6" t="inlineStr">
        <is>
          <t>$977,938M</t>
        </is>
      </c>
      <c r="G26" s="6" t="inlineStr">
        <is>
          <t>$869</t>
        </is>
      </c>
      <c r="H26" s="6" t="inlineStr">
        <is>
          <t>8.1%</t>
        </is>
      </c>
    </row>
    <row r="27" ht="16" customHeight="1">
      <c r="B27" s="4" t="inlineStr">
        <is>
          <t>Blended Average</t>
        </is>
      </c>
      <c r="C27" s="4" t="inlineStr">
        <is>
          <t>—</t>
        </is>
      </c>
      <c r="D27" s="4" t="inlineStr">
        <is>
          <t>—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$1,054</t>
        </is>
      </c>
      <c r="H27" s="4" t="inlineStr">
        <is>
          <t>31.1%</t>
        </is>
      </c>
    </row>
    <row r="30">
      <c r="B30" s="28" t="inlineStr">
        <is>
          <t>Sources: Finance Analyst Tool (TTM multiples), Bloomberg. Comps selection: US-listed semiconductor &amp; storage peers. Korean comps (Samsung, SK Hynix) shown indicatively.</t>
        </is>
      </c>
    </row>
  </sheetData>
  <mergeCells count="1">
    <mergeCell ref="B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2026-05-11T18:28:33Z</dcterms:created>
  <dcterms:modified xmlns:dcterms="http://purl.org/dc/terms/" xmlns:xsi="http://www.w3.org/2001/XMLSchema-instance" xsi:type="dcterms:W3CDTF">2026-05-11T18:32:55Z</dcterms:modified>
</cp:coreProperties>
</file>