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 Model" sheetId="2" state="visible" r:id="rId2"/>
    <sheet name="Cash Flow" sheetId="3" state="visible" r:id="rId3"/>
    <sheet name="Balance Sheet" sheetId="4" state="visible" r:id="rId4"/>
    <sheet name="DCF Inputs" sheetId="5" state="visible" r:id="rId5"/>
    <sheet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name val="Calibri"/>
      <color rgb="001F497D"/>
      <sz val="11"/>
    </font>
    <font>
      <name val="Calibri"/>
      <color rgb="00000000"/>
      <sz val="11"/>
    </font>
    <font>
      <name val="Calibri"/>
      <color rgb="00375623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7" fillId="0" borderId="0" pivotButton="0" quotePrefix="0" xfId="0"/>
    <xf numFmtId="164" fontId="4" fillId="0" borderId="1" pivotButton="0" quotePrefix="0" xfId="0"/>
    <xf numFmtId="164" fontId="4" fillId="0" borderId="0" pivotButton="0" quotePrefix="0" xfId="0"/>
    <xf numFmtId="164" fontId="4" fillId="0" borderId="2" pivotButton="0" quotePrefix="0" xfId="0"/>
    <xf numFmtId="166" fontId="4" fillId="0" borderId="0" pivotButton="0" quotePrefix="0" xfId="0"/>
    <xf numFmtId="164" fontId="8" fillId="0" borderId="0" pivotButton="0" quotePrefix="0" xfId="0"/>
    <xf numFmtId="164" fontId="4" fillId="0" borderId="1" applyAlignment="1" pivotButton="0" quotePrefix="0" xfId="0">
      <alignment horizontal="right"/>
    </xf>
    <xf numFmtId="164" fontId="4" fillId="0" borderId="3" pivotButton="0" quotePrefix="0" xfId="0"/>
    <xf numFmtId="0" fontId="4" fillId="0" borderId="0" applyAlignment="1" pivotButton="0" quotePrefix="0" xfId="0">
      <alignment horizontal="center"/>
    </xf>
    <xf numFmtId="165" fontId="8" fillId="0" borderId="0" pivotButton="0" quotePrefix="0" xfId="0"/>
    <xf numFmtId="0" fontId="4" fillId="2" borderId="0" applyAlignment="1" pivotButton="0" quotePrefix="0" xfId="0">
      <alignment horizontal="center"/>
    </xf>
    <xf numFmtId="165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Micron Technology, Inc. (MU) — Annual Income Statement</t>
        </is>
      </c>
    </row>
    <row r="2">
      <c r="A2" s="2" t="inlineStr">
        <is>
          <t>(USD Millions, except per-share data)</t>
        </is>
      </c>
    </row>
    <row r="3"/>
    <row r="4">
      <c r="A4" s="3" t="inlineStr">
        <is>
          <t>Line Item</t>
        </is>
      </c>
      <c r="B4" s="4" t="inlineStr">
        <is>
          <t>FY 2016</t>
        </is>
      </c>
      <c r="C4" s="4" t="inlineStr">
        <is>
          <t>FY 2017</t>
        </is>
      </c>
      <c r="D4" s="4" t="inlineStr">
        <is>
          <t>FY 2018</t>
        </is>
      </c>
      <c r="E4" s="4" t="inlineStr">
        <is>
          <t>FY 2019</t>
        </is>
      </c>
      <c r="F4" s="4" t="inlineStr">
        <is>
          <t>FY 2020</t>
        </is>
      </c>
      <c r="G4" s="4" t="inlineStr">
        <is>
          <t>FY 2021</t>
        </is>
      </c>
      <c r="H4" s="4" t="inlineStr">
        <is>
          <t>FY 2022</t>
        </is>
      </c>
      <c r="I4" s="4" t="inlineStr">
        <is>
          <t>FY 2023</t>
        </is>
      </c>
      <c r="J4" s="4" t="inlineStr">
        <is>
          <t>FY 2024</t>
        </is>
      </c>
      <c r="K4" s="4" t="inlineStr">
        <is>
          <t>FY 2025</t>
        </is>
      </c>
      <c r="L4" s="4" t="inlineStr">
        <is>
          <t>FY 2026E</t>
        </is>
      </c>
      <c r="M4" s="4" t="inlineStr">
        <is>
          <t>FY 2027E</t>
        </is>
      </c>
      <c r="N4" s="4" t="inlineStr">
        <is>
          <t>FY 2028E</t>
        </is>
      </c>
      <c r="O4" s="4" t="inlineStr">
        <is>
          <t>FY 2029E</t>
        </is>
      </c>
      <c r="P4" s="4" t="inlineStr">
        <is>
          <t>FY 2030E</t>
        </is>
      </c>
    </row>
    <row r="5">
      <c r="A5" s="5" t="inlineStr">
        <is>
          <t>Revenues</t>
        </is>
      </c>
    </row>
    <row r="6">
      <c r="A6" s="6" t="inlineStr">
        <is>
          <t>Total Revenues</t>
        </is>
      </c>
      <c r="B6" s="7" t="n">
        <v>12400</v>
      </c>
      <c r="C6" s="7" t="n">
        <v>20300</v>
      </c>
      <c r="D6" s="7" t="n">
        <v>30400</v>
      </c>
      <c r="E6" s="7" t="n">
        <v>23400</v>
      </c>
      <c r="F6" s="7" t="n">
        <v>21400</v>
      </c>
      <c r="G6" s="7" t="n">
        <v>27700</v>
      </c>
      <c r="H6" s="7" t="n">
        <v>30758</v>
      </c>
      <c r="I6" s="7" t="n">
        <v>15540</v>
      </c>
      <c r="J6" s="7" t="n">
        <v>25111</v>
      </c>
      <c r="K6" s="7" t="n">
        <v>37380</v>
      </c>
      <c r="L6" s="7" t="n">
        <v>109700</v>
      </c>
      <c r="M6" s="7" t="n">
        <v>172760</v>
      </c>
      <c r="N6" s="7" t="n">
        <v>165260</v>
      </c>
      <c r="O6" s="7" t="n">
        <v>107600</v>
      </c>
      <c r="P6" s="7" t="n">
        <v>107970</v>
      </c>
    </row>
    <row r="7">
      <c r="A7" s="6" t="inlineStr">
        <is>
          <t xml:space="preserve">  YoY Growth %</t>
        </is>
      </c>
      <c r="B7" s="8" t="inlineStr">
        <is>
          <t>-</t>
        </is>
      </c>
      <c r="C7" s="8">
        <f>(C6-B6)/B6</f>
        <v/>
      </c>
      <c r="D7" s="8">
        <f>(D6-C6)/C6</f>
        <v/>
      </c>
      <c r="E7" s="8">
        <f>(E6-D6)/D6</f>
        <v/>
      </c>
      <c r="F7" s="8">
        <f>(F6-E6)/E6</f>
        <v/>
      </c>
      <c r="G7" s="8">
        <f>(G6-F6)/F6</f>
        <v/>
      </c>
      <c r="H7" s="8">
        <f>(H6-G6)/G6</f>
        <v/>
      </c>
      <c r="I7" s="8">
        <f>(I6-H6)/H6</f>
        <v/>
      </c>
      <c r="J7" s="8">
        <f>(J6-I6)/I6</f>
        <v/>
      </c>
      <c r="K7" s="8">
        <f>(K6-J6)/J6</f>
        <v/>
      </c>
      <c r="L7" s="8">
        <f>(L6-K6)/K6</f>
        <v/>
      </c>
      <c r="M7" s="8">
        <f>(M6-L6)/L6</f>
        <v/>
      </c>
      <c r="N7" s="8">
        <f>(N6-M6)/M6</f>
        <v/>
      </c>
      <c r="O7" s="8">
        <f>(O6-N6)/N6</f>
        <v/>
      </c>
      <c r="P7" s="8">
        <f>(P6-O6)/O6</f>
        <v/>
      </c>
    </row>
    <row r="8">
      <c r="A8" s="6" t="inlineStr">
        <is>
          <t>Cost of Goods Sold</t>
        </is>
      </c>
      <c r="B8" s="7" t="n">
        <v>9900</v>
      </c>
      <c r="C8" s="7" t="n">
        <v>11900</v>
      </c>
      <c r="D8" s="7" t="n">
        <v>12500</v>
      </c>
      <c r="E8" s="7" t="n">
        <v>12700</v>
      </c>
      <c r="F8" s="7" t="n">
        <v>14900</v>
      </c>
      <c r="G8" s="7" t="n">
        <v>17200</v>
      </c>
      <c r="H8" s="7" t="n">
        <v>16866</v>
      </c>
      <c r="I8" s="7" t="n">
        <v>15125</v>
      </c>
      <c r="J8" s="7" t="n">
        <v>19499</v>
      </c>
      <c r="K8" s="7" t="n">
        <v>22506</v>
      </c>
      <c r="L8" s="7" t="n">
        <v>25390</v>
      </c>
      <c r="M8" s="7" t="n">
        <v>35020</v>
      </c>
      <c r="N8" s="7" t="n">
        <v>38720</v>
      </c>
      <c r="O8" s="7" t="n">
        <v>66370</v>
      </c>
      <c r="P8" s="7" t="n">
        <v>67110</v>
      </c>
    </row>
    <row r="9">
      <c r="A9" s="6" t="inlineStr">
        <is>
          <t>Gross Profit</t>
        </is>
      </c>
      <c r="B9" s="9">
        <f>B6-B8</f>
        <v/>
      </c>
      <c r="C9" s="9">
        <f>C6-C8</f>
        <v/>
      </c>
      <c r="D9" s="9">
        <f>D6-D8</f>
        <v/>
      </c>
      <c r="E9" s="9">
        <f>E6-E8</f>
        <v/>
      </c>
      <c r="F9" s="9">
        <f>F6-F8</f>
        <v/>
      </c>
      <c r="G9" s="9">
        <f>G6-G8</f>
        <v/>
      </c>
      <c r="H9" s="9">
        <f>H6-H8</f>
        <v/>
      </c>
      <c r="I9" s="9">
        <f>I6-I8</f>
        <v/>
      </c>
      <c r="J9" s="9">
        <f>J6-J8</f>
        <v/>
      </c>
      <c r="K9" s="9">
        <f>K6-K8</f>
        <v/>
      </c>
      <c r="L9" s="9">
        <f>L6-L8</f>
        <v/>
      </c>
      <c r="M9" s="9">
        <f>M6-M8</f>
        <v/>
      </c>
      <c r="N9" s="9">
        <f>N6-N8</f>
        <v/>
      </c>
      <c r="O9" s="9">
        <f>O6-O8</f>
        <v/>
      </c>
      <c r="P9" s="9">
        <f>P6-P8</f>
        <v/>
      </c>
    </row>
    <row r="10">
      <c r="A10" s="6" t="inlineStr">
        <is>
          <t xml:space="preserve">  Gross Margin %</t>
        </is>
      </c>
      <c r="B10" s="8">
        <f>B9/B6</f>
        <v/>
      </c>
      <c r="C10" s="8">
        <f>C9/C6</f>
        <v/>
      </c>
      <c r="D10" s="8">
        <f>D9/D6</f>
        <v/>
      </c>
      <c r="E10" s="8">
        <f>E9/E6</f>
        <v/>
      </c>
      <c r="F10" s="8">
        <f>F9/F6</f>
        <v/>
      </c>
      <c r="G10" s="8">
        <f>G9/G6</f>
        <v/>
      </c>
      <c r="H10" s="8">
        <f>H9/H6</f>
        <v/>
      </c>
      <c r="I10" s="8">
        <f>I9/I6</f>
        <v/>
      </c>
      <c r="J10" s="8">
        <f>J9/J6</f>
        <v/>
      </c>
      <c r="K10" s="8">
        <f>K9/K6</f>
        <v/>
      </c>
      <c r="L10" s="8">
        <f>L9/L6</f>
        <v/>
      </c>
      <c r="M10" s="8">
        <f>M9/M6</f>
        <v/>
      </c>
      <c r="N10" s="8">
        <f>N9/N6</f>
        <v/>
      </c>
      <c r="O10" s="8">
        <f>O9/O6</f>
        <v/>
      </c>
      <c r="P10" s="8">
        <f>P9/P6</f>
        <v/>
      </c>
    </row>
    <row r="11">
      <c r="A11" s="5" t="inlineStr">
        <is>
          <t>Operating Expenses</t>
        </is>
      </c>
    </row>
    <row r="12">
      <c r="A12" s="6" t="inlineStr">
        <is>
          <t>Research &amp; Development</t>
        </is>
      </c>
      <c r="B12" s="7" t="n">
        <v>1600</v>
      </c>
      <c r="C12" s="7" t="n">
        <v>1800</v>
      </c>
      <c r="D12" s="7" t="n">
        <v>2100</v>
      </c>
      <c r="E12" s="7" t="n">
        <v>2400</v>
      </c>
      <c r="F12" s="7" t="n">
        <v>2600</v>
      </c>
      <c r="G12" s="7" t="n">
        <v>2700</v>
      </c>
      <c r="H12" s="7" t="n">
        <v>3072</v>
      </c>
      <c r="I12" s="7" t="n">
        <v>3120</v>
      </c>
      <c r="J12" s="7" t="n">
        <v>3420</v>
      </c>
      <c r="K12" s="7" t="n">
        <v>3820</v>
      </c>
      <c r="L12" s="7" t="n">
        <v>5200</v>
      </c>
      <c r="M12" s="7" t="n">
        <v>6500</v>
      </c>
      <c r="N12" s="7" t="n">
        <v>6000</v>
      </c>
      <c r="O12" s="7" t="n">
        <v>5500</v>
      </c>
      <c r="P12" s="7" t="n">
        <v>5500</v>
      </c>
    </row>
    <row r="13">
      <c r="A13" s="6" t="inlineStr">
        <is>
          <t>SG&amp;A Expenses</t>
        </is>
      </c>
      <c r="B13" s="7" t="n">
        <v>700</v>
      </c>
      <c r="C13" s="7" t="n">
        <v>700</v>
      </c>
      <c r="D13" s="7" t="n">
        <v>800</v>
      </c>
      <c r="E13" s="7" t="n">
        <v>800</v>
      </c>
      <c r="F13" s="7" t="n">
        <v>900</v>
      </c>
      <c r="G13" s="7" t="n">
        <v>900</v>
      </c>
      <c r="H13" s="7" t="n">
        <v>1079</v>
      </c>
      <c r="I13" s="7" t="n">
        <v>920</v>
      </c>
      <c r="J13" s="7" t="n">
        <v>1130</v>
      </c>
      <c r="K13" s="7" t="n">
        <v>1204</v>
      </c>
      <c r="L13" s="7" t="n">
        <v>1800</v>
      </c>
      <c r="M13" s="7" t="n">
        <v>2200</v>
      </c>
      <c r="N13" s="7" t="n">
        <v>2000</v>
      </c>
      <c r="O13" s="7" t="n">
        <v>1800</v>
      </c>
      <c r="P13" s="7" t="n">
        <v>1800</v>
      </c>
    </row>
    <row r="14">
      <c r="A14" s="6" t="inlineStr">
        <is>
          <t>Other Operating Exp (Inc)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100</v>
      </c>
      <c r="H14" s="7" t="n">
        <v>0</v>
      </c>
      <c r="I14" s="7" t="n">
        <v>-100</v>
      </c>
      <c r="J14" s="7" t="n">
        <v>-251</v>
      </c>
      <c r="K14" s="7" t="n">
        <v>51</v>
      </c>
      <c r="L14" s="7" t="n">
        <v>360</v>
      </c>
      <c r="M14" s="7" t="n">
        <v>1320</v>
      </c>
      <c r="N14" s="7" t="n">
        <v>720</v>
      </c>
      <c r="O14" s="7" t="n">
        <v>700</v>
      </c>
      <c r="P14" s="7" t="n">
        <v>700</v>
      </c>
    </row>
    <row r="15">
      <c r="A15" s="6" t="inlineStr">
        <is>
          <t>Operating Income (EBIT)</t>
        </is>
      </c>
      <c r="B15" s="9">
        <f>B9-SUM(B12:B14)</f>
        <v/>
      </c>
      <c r="C15" s="9">
        <f>C9-SUM(C12:C14)</f>
        <v/>
      </c>
      <c r="D15" s="9">
        <f>D9-SUM(D12:D14)</f>
        <v/>
      </c>
      <c r="E15" s="9">
        <f>E9-SUM(E12:E14)</f>
        <v/>
      </c>
      <c r="F15" s="9">
        <f>F9-SUM(F12:F14)</f>
        <v/>
      </c>
      <c r="G15" s="9">
        <f>G9-SUM(G12:G14)</f>
        <v/>
      </c>
      <c r="H15" s="9">
        <f>H9-SUM(H12:H14)</f>
        <v/>
      </c>
      <c r="I15" s="9">
        <f>I9-SUM(I12:I14)</f>
        <v/>
      </c>
      <c r="J15" s="9">
        <f>J9-SUM(J12:J14)</f>
        <v/>
      </c>
      <c r="K15" s="9">
        <f>K9-SUM(K12:K14)</f>
        <v/>
      </c>
      <c r="L15" s="9">
        <f>L9-SUM(L12:L14)</f>
        <v/>
      </c>
      <c r="M15" s="9">
        <f>M9-SUM(M12:M14)</f>
        <v/>
      </c>
      <c r="N15" s="9">
        <f>N9-SUM(N12:N14)</f>
        <v/>
      </c>
      <c r="O15" s="9">
        <f>O9-SUM(O12:O14)</f>
        <v/>
      </c>
      <c r="P15" s="9">
        <f>P9-SUM(P12:P14)</f>
        <v/>
      </c>
    </row>
    <row r="16">
      <c r="A16" s="6" t="inlineStr">
        <is>
          <t xml:space="preserve">  Operating Margin %</t>
        </is>
      </c>
      <c r="B16" s="8">
        <f>B15/B6</f>
        <v/>
      </c>
      <c r="C16" s="8">
        <f>C15/C6</f>
        <v/>
      </c>
      <c r="D16" s="8">
        <f>D15/D6</f>
        <v/>
      </c>
      <c r="E16" s="8">
        <f>E15/E6</f>
        <v/>
      </c>
      <c r="F16" s="8">
        <f>F15/F6</f>
        <v/>
      </c>
      <c r="G16" s="8">
        <f>G15/G6</f>
        <v/>
      </c>
      <c r="H16" s="8">
        <f>H15/H6</f>
        <v/>
      </c>
      <c r="I16" s="8">
        <f>I15/I6</f>
        <v/>
      </c>
      <c r="J16" s="8">
        <f>J15/J6</f>
        <v/>
      </c>
      <c r="K16" s="8">
        <f>K15/K6</f>
        <v/>
      </c>
      <c r="L16" s="8">
        <f>L15/L6</f>
        <v/>
      </c>
      <c r="M16" s="8">
        <f>M15/M6</f>
        <v/>
      </c>
      <c r="N16" s="8">
        <f>N15/N6</f>
        <v/>
      </c>
      <c r="O16" s="8">
        <f>O15/O6</f>
        <v/>
      </c>
      <c r="P16" s="8">
        <f>P15/P6</f>
        <v/>
      </c>
    </row>
    <row r="17">
      <c r="A17" s="5" t="inlineStr">
        <is>
          <t>Other Income / Expense</t>
        </is>
      </c>
    </row>
    <row r="18">
      <c r="A18" s="6" t="inlineStr">
        <is>
          <t>Net Interest Expense</t>
        </is>
      </c>
      <c r="B18" s="7" t="n">
        <v>-400</v>
      </c>
      <c r="C18" s="7" t="n">
        <v>-600</v>
      </c>
      <c r="D18" s="7" t="n">
        <v>-200</v>
      </c>
      <c r="E18" s="7" t="n">
        <v>100</v>
      </c>
      <c r="F18" s="7" t="n">
        <v>-100</v>
      </c>
      <c r="G18" s="7" t="n">
        <v>-100</v>
      </c>
      <c r="H18" s="7" t="n">
        <v>-100</v>
      </c>
      <c r="I18" s="7" t="n">
        <v>100</v>
      </c>
      <c r="J18" s="7" t="n">
        <v>0</v>
      </c>
      <c r="K18" s="7" t="n">
        <v>0</v>
      </c>
      <c r="L18" s="7" t="n">
        <v>200</v>
      </c>
      <c r="M18" s="7" t="n">
        <v>200</v>
      </c>
      <c r="N18" s="7" t="n">
        <v>200</v>
      </c>
      <c r="O18" s="7" t="n">
        <v>200</v>
      </c>
      <c r="P18" s="7" t="n">
        <v>200</v>
      </c>
    </row>
    <row r="19">
      <c r="A19" s="6" t="inlineStr">
        <is>
          <t>Pre-Tax Income (EBT)</t>
        </is>
      </c>
      <c r="B19" s="10">
        <f>B15-B18</f>
        <v/>
      </c>
      <c r="C19" s="10">
        <f>C15-C18</f>
        <v/>
      </c>
      <c r="D19" s="10">
        <f>D15-D18</f>
        <v/>
      </c>
      <c r="E19" s="10">
        <f>E15-E18</f>
        <v/>
      </c>
      <c r="F19" s="10">
        <f>F15-F18</f>
        <v/>
      </c>
      <c r="G19" s="10">
        <f>G15-G18</f>
        <v/>
      </c>
      <c r="H19" s="10">
        <f>H15-H18</f>
        <v/>
      </c>
      <c r="I19" s="10">
        <f>I15-I18</f>
        <v/>
      </c>
      <c r="J19" s="10">
        <f>J15-J18</f>
        <v/>
      </c>
      <c r="K19" s="10">
        <f>K15-K18</f>
        <v/>
      </c>
      <c r="L19" s="10">
        <f>L15-L18</f>
        <v/>
      </c>
      <c r="M19" s="10">
        <f>M15-M18</f>
        <v/>
      </c>
      <c r="N19" s="10">
        <f>N15-N18</f>
        <v/>
      </c>
      <c r="O19" s="10">
        <f>O15-O18</f>
        <v/>
      </c>
      <c r="P19" s="10">
        <f>P15-P18</f>
        <v/>
      </c>
    </row>
    <row r="20">
      <c r="A20" s="6" t="inlineStr">
        <is>
          <t>Income Tax Expense</t>
        </is>
      </c>
      <c r="B20" s="7" t="n">
        <v>0</v>
      </c>
      <c r="C20" s="7" t="n">
        <v>100</v>
      </c>
      <c r="D20" s="7" t="n">
        <v>200</v>
      </c>
      <c r="E20" s="7" t="n">
        <v>700</v>
      </c>
      <c r="F20" s="7" t="n">
        <v>300</v>
      </c>
      <c r="G20" s="7" t="n">
        <v>400</v>
      </c>
      <c r="H20" s="7" t="n">
        <v>912</v>
      </c>
      <c r="I20" s="7" t="n">
        <v>221</v>
      </c>
      <c r="J20" s="7" t="n">
        <v>482</v>
      </c>
      <c r="K20" s="7" t="n">
        <v>1178</v>
      </c>
      <c r="L20" s="7" t="n">
        <v>15468</v>
      </c>
      <c r="M20" s="7" t="n">
        <v>27548</v>
      </c>
      <c r="N20" s="7" t="n">
        <v>25308</v>
      </c>
      <c r="O20" s="7" t="n">
        <v>8246</v>
      </c>
      <c r="P20" s="7" t="n">
        <v>8172</v>
      </c>
    </row>
    <row r="21">
      <c r="A21" s="6" t="inlineStr">
        <is>
          <t xml:space="preserve">  Effective Tax Rate</t>
        </is>
      </c>
      <c r="B21" s="8">
        <f>IF(B19&lt;=0,0,B20/B19)</f>
        <v/>
      </c>
      <c r="C21" s="8">
        <f>IF(C19&lt;=0,0,C20/C19)</f>
        <v/>
      </c>
      <c r="D21" s="8">
        <f>IF(D19&lt;=0,0,D20/D19)</f>
        <v/>
      </c>
      <c r="E21" s="8">
        <f>IF(E19&lt;=0,0,E20/E19)</f>
        <v/>
      </c>
      <c r="F21" s="8">
        <f>IF(F19&lt;=0,0,F20/F19)</f>
        <v/>
      </c>
      <c r="G21" s="8">
        <f>IF(G19&lt;=0,0,G20/G19)</f>
        <v/>
      </c>
      <c r="H21" s="8">
        <f>IF(H19&lt;=0,0,H20/H19)</f>
        <v/>
      </c>
      <c r="I21" s="8">
        <f>IF(I19&lt;=0,0,I20/I19)</f>
        <v/>
      </c>
      <c r="J21" s="8">
        <f>IF(J19&lt;=0,0,J20/J19)</f>
        <v/>
      </c>
      <c r="K21" s="8">
        <f>IF(K19&lt;=0,0,K20/K19)</f>
        <v/>
      </c>
      <c r="L21" s="8">
        <f>IF(L19&lt;=0,0,L20/L19)</f>
        <v/>
      </c>
      <c r="M21" s="8">
        <f>IF(M19&lt;=0,0,M20/M19)</f>
        <v/>
      </c>
      <c r="N21" s="8">
        <f>IF(N19&lt;=0,0,N20/N19)</f>
        <v/>
      </c>
      <c r="O21" s="8">
        <f>IF(O19&lt;=0,0,O20/O19)</f>
        <v/>
      </c>
      <c r="P21" s="8">
        <f>IF(P19&lt;=0,0,P20/P19)</f>
        <v/>
      </c>
    </row>
    <row r="22">
      <c r="A22" s="6" t="inlineStr">
        <is>
          <t>Net Income</t>
        </is>
      </c>
      <c r="B22" s="11">
        <f>B19-B20</f>
        <v/>
      </c>
      <c r="C22" s="11">
        <f>C19-C20</f>
        <v/>
      </c>
      <c r="D22" s="11">
        <f>D19-D20</f>
        <v/>
      </c>
      <c r="E22" s="11">
        <f>E19-E20</f>
        <v/>
      </c>
      <c r="F22" s="11">
        <f>F19-F20</f>
        <v/>
      </c>
      <c r="G22" s="11">
        <f>G19-G20</f>
        <v/>
      </c>
      <c r="H22" s="11">
        <f>H19-H20</f>
        <v/>
      </c>
      <c r="I22" s="11">
        <f>I19-I20</f>
        <v/>
      </c>
      <c r="J22" s="11">
        <f>J19-J20</f>
        <v/>
      </c>
      <c r="K22" s="11">
        <f>K19-K20</f>
        <v/>
      </c>
      <c r="L22" s="11">
        <f>L19-L20</f>
        <v/>
      </c>
      <c r="M22" s="11">
        <f>M19-M20</f>
        <v/>
      </c>
      <c r="N22" s="11">
        <f>N19-N20</f>
        <v/>
      </c>
      <c r="O22" s="11">
        <f>O19-O20</f>
        <v/>
      </c>
      <c r="P22" s="11">
        <f>P19-P20</f>
        <v/>
      </c>
    </row>
    <row r="23">
      <c r="A23" s="6" t="inlineStr">
        <is>
          <t>Shares Outstanding (Diluted)</t>
        </is>
      </c>
      <c r="B23" s="7" t="n">
        <v>1130</v>
      </c>
      <c r="C23" s="7" t="n">
        <v>1130</v>
      </c>
      <c r="D23" s="7" t="n">
        <v>1130</v>
      </c>
      <c r="E23" s="7" t="n">
        <v>1130</v>
      </c>
      <c r="F23" s="7" t="n">
        <v>1130</v>
      </c>
      <c r="G23" s="7" t="n">
        <v>1130</v>
      </c>
      <c r="H23" s="7" t="n">
        <v>1130</v>
      </c>
      <c r="I23" s="7" t="n">
        <v>1130</v>
      </c>
      <c r="J23" s="7" t="n">
        <v>1130</v>
      </c>
      <c r="K23" s="7" t="n">
        <v>1130</v>
      </c>
      <c r="L23" s="7" t="n">
        <v>1130</v>
      </c>
      <c r="M23" s="7" t="n">
        <v>1130</v>
      </c>
      <c r="N23" s="7" t="n">
        <v>1130</v>
      </c>
      <c r="O23" s="7" t="n">
        <v>1130</v>
      </c>
      <c r="P23" s="7" t="n">
        <v>1130</v>
      </c>
    </row>
    <row r="24">
      <c r="A24" s="6" t="inlineStr">
        <is>
          <t>Diluted EPS ($)</t>
        </is>
      </c>
      <c r="B24" s="12">
        <f>B22/B23</f>
        <v/>
      </c>
      <c r="C24" s="12">
        <f>C22/C23</f>
        <v/>
      </c>
      <c r="D24" s="12">
        <f>D22/D23</f>
        <v/>
      </c>
      <c r="E24" s="12">
        <f>E22/E23</f>
        <v/>
      </c>
      <c r="F24" s="12">
        <f>F22/F23</f>
        <v/>
      </c>
      <c r="G24" s="12">
        <f>G22/G23</f>
        <v/>
      </c>
      <c r="H24" s="12">
        <f>H22/H23</f>
        <v/>
      </c>
      <c r="I24" s="12">
        <f>I22/I23</f>
        <v/>
      </c>
      <c r="J24" s="12">
        <f>J22/J23</f>
        <v/>
      </c>
      <c r="K24" s="12">
        <f>K22/K23</f>
        <v/>
      </c>
      <c r="L24" s="12">
        <f>L22/L23</f>
        <v/>
      </c>
      <c r="M24" s="12">
        <f>M22/M23</f>
        <v/>
      </c>
      <c r="N24" s="12">
        <f>N22/N23</f>
        <v/>
      </c>
      <c r="O24" s="12">
        <f>O22/O23</f>
        <v/>
      </c>
      <c r="P24" s="12">
        <f>P22/P23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Micron Technology, Inc. (MU) — Revenue Breakdown Model</t>
        </is>
      </c>
    </row>
    <row r="2">
      <c r="A2" s="2" t="inlineStr">
        <is>
          <t>(USD Millions)</t>
        </is>
      </c>
    </row>
    <row r="3"/>
    <row r="4">
      <c r="A4" s="3" t="inlineStr">
        <is>
          <t>Segment</t>
        </is>
      </c>
      <c r="B4" s="4" t="inlineStr">
        <is>
          <t>FY 2016</t>
        </is>
      </c>
      <c r="C4" s="4" t="inlineStr">
        <is>
          <t>FY 2017</t>
        </is>
      </c>
      <c r="D4" s="4" t="inlineStr">
        <is>
          <t>FY 2018</t>
        </is>
      </c>
      <c r="E4" s="4" t="inlineStr">
        <is>
          <t>FY 2019</t>
        </is>
      </c>
      <c r="F4" s="4" t="inlineStr">
        <is>
          <t>FY 2020</t>
        </is>
      </c>
      <c r="G4" s="4" t="inlineStr">
        <is>
          <t>FY 2021</t>
        </is>
      </c>
      <c r="H4" s="4" t="inlineStr">
        <is>
          <t>FY 2022</t>
        </is>
      </c>
      <c r="I4" s="4" t="inlineStr">
        <is>
          <t>FY 2023</t>
        </is>
      </c>
      <c r="J4" s="4" t="inlineStr">
        <is>
          <t>FY 2024</t>
        </is>
      </c>
      <c r="K4" s="4" t="inlineStr">
        <is>
          <t>FY 2025</t>
        </is>
      </c>
      <c r="L4" s="4" t="inlineStr">
        <is>
          <t>FY 2026E</t>
        </is>
      </c>
      <c r="M4" s="4" t="inlineStr">
        <is>
          <t>FY 2027E</t>
        </is>
      </c>
      <c r="N4" s="4" t="inlineStr">
        <is>
          <t>FY 2028E</t>
        </is>
      </c>
      <c r="O4" s="4" t="inlineStr">
        <is>
          <t>FY 2029E</t>
        </is>
      </c>
      <c r="P4" s="4" t="inlineStr">
        <is>
          <t>FY 2030E</t>
        </is>
      </c>
    </row>
    <row r="5">
      <c r="A5" s="5" t="inlineStr">
        <is>
          <t>DRAM Product Family</t>
        </is>
      </c>
    </row>
    <row r="6">
      <c r="A6" s="6" t="inlineStr">
        <is>
          <t xml:space="preserve">  HBM (High-Bandwidth Memory)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100</v>
      </c>
      <c r="H6" s="7" t="n">
        <v>200</v>
      </c>
      <c r="I6" s="7" t="n">
        <v>1200</v>
      </c>
      <c r="J6" s="7" t="n">
        <v>3000</v>
      </c>
      <c r="K6" s="7" t="n">
        <v>6000</v>
      </c>
      <c r="L6" s="7" t="n">
        <v>18000</v>
      </c>
      <c r="M6" s="7" t="n">
        <v>32000</v>
      </c>
      <c r="N6" s="7" t="n">
        <v>38000</v>
      </c>
      <c r="O6" s="7" t="n">
        <v>28000</v>
      </c>
      <c r="P6" s="7" t="n">
        <v>28000</v>
      </c>
    </row>
    <row r="7">
      <c r="A7" s="6" t="inlineStr">
        <is>
          <t xml:space="preserve">  DDR5 / Enterprise Server</t>
        </is>
      </c>
      <c r="B7" s="7" t="n">
        <v>1000</v>
      </c>
      <c r="C7" s="7" t="n">
        <v>1500</v>
      </c>
      <c r="D7" s="7" t="n">
        <v>2000</v>
      </c>
      <c r="E7" s="7" t="n">
        <v>1800</v>
      </c>
      <c r="F7" s="7" t="n">
        <v>1500</v>
      </c>
      <c r="G7" s="7" t="n">
        <v>2200</v>
      </c>
      <c r="H7" s="7" t="n">
        <v>2800</v>
      </c>
      <c r="I7" s="7" t="n">
        <v>2500</v>
      </c>
      <c r="J7" s="7" t="n">
        <v>3500</v>
      </c>
      <c r="K7" s="7" t="n">
        <v>6000</v>
      </c>
      <c r="L7" s="7" t="n">
        <v>22000</v>
      </c>
      <c r="M7" s="7" t="n">
        <v>35000</v>
      </c>
      <c r="N7" s="7" t="n">
        <v>32000</v>
      </c>
      <c r="O7" s="7" t="n">
        <v>20000</v>
      </c>
      <c r="P7" s="7" t="n">
        <v>20000</v>
      </c>
    </row>
    <row r="8">
      <c r="A8" s="6" t="inlineStr">
        <is>
          <t xml:space="preserve">  LPDDR5X / Mobile</t>
        </is>
      </c>
      <c r="B8" s="7" t="n">
        <v>3000</v>
      </c>
      <c r="C8" s="7" t="n">
        <v>4800</v>
      </c>
      <c r="D8" s="7" t="n">
        <v>7200</v>
      </c>
      <c r="E8" s="7" t="n">
        <v>5200</v>
      </c>
      <c r="F8" s="7" t="n">
        <v>4800</v>
      </c>
      <c r="G8" s="7" t="n">
        <v>6200</v>
      </c>
      <c r="H8" s="7" t="n">
        <v>6800</v>
      </c>
      <c r="I8" s="7" t="n">
        <v>3200</v>
      </c>
      <c r="J8" s="7" t="n">
        <v>5500</v>
      </c>
      <c r="K8" s="7" t="n">
        <v>8000</v>
      </c>
      <c r="L8" s="7" t="n">
        <v>18000</v>
      </c>
      <c r="M8" s="7" t="n">
        <v>28000</v>
      </c>
      <c r="N8" s="7" t="n">
        <v>25000</v>
      </c>
      <c r="O8" s="7" t="n">
        <v>18000</v>
      </c>
      <c r="P8" s="7" t="n">
        <v>18000</v>
      </c>
    </row>
    <row r="9">
      <c r="A9" s="6" t="inlineStr">
        <is>
          <t xml:space="preserve">  Other DRAM Products</t>
        </is>
      </c>
      <c r="B9" s="7" t="n">
        <v>4680</v>
      </c>
      <c r="C9" s="7" t="n">
        <v>7940</v>
      </c>
      <c r="D9" s="7" t="n">
        <v>12080</v>
      </c>
      <c r="E9" s="7" t="n">
        <v>9480</v>
      </c>
      <c r="F9" s="7" t="n">
        <v>8620</v>
      </c>
      <c r="G9" s="7" t="n">
        <v>12220</v>
      </c>
      <c r="H9" s="7" t="n">
        <v>12258</v>
      </c>
      <c r="I9" s="7" t="n">
        <v>4740</v>
      </c>
      <c r="J9" s="7" t="n">
        <v>5631</v>
      </c>
      <c r="K9" s="7" t="n">
        <v>7374</v>
      </c>
      <c r="L9" s="7" t="n">
        <v>24220</v>
      </c>
      <c r="M9" s="7" t="n">
        <v>37760</v>
      </c>
      <c r="N9" s="7" t="n">
        <v>35260</v>
      </c>
      <c r="O9" s="7" t="n">
        <v>21600</v>
      </c>
      <c r="P9" s="7" t="n">
        <v>21970</v>
      </c>
    </row>
    <row r="10">
      <c r="A10" s="6" t="inlineStr">
        <is>
          <t>Total DRAM Revenues</t>
        </is>
      </c>
      <c r="B10" s="9">
        <f>SUM(B6:B9)</f>
        <v/>
      </c>
      <c r="C10" s="9">
        <f>SUM(C6:C9)</f>
        <v/>
      </c>
      <c r="D10" s="9">
        <f>SUM(D6:D9)</f>
        <v/>
      </c>
      <c r="E10" s="9">
        <f>SUM(E6:E9)</f>
        <v/>
      </c>
      <c r="F10" s="9">
        <f>SUM(F6:F9)</f>
        <v/>
      </c>
      <c r="G10" s="9">
        <f>SUM(G6:G9)</f>
        <v/>
      </c>
      <c r="H10" s="9">
        <f>SUM(H6:H9)</f>
        <v/>
      </c>
      <c r="I10" s="9">
        <f>SUM(I6:I9)</f>
        <v/>
      </c>
      <c r="J10" s="9">
        <f>SUM(J6:J9)</f>
        <v/>
      </c>
      <c r="K10" s="9">
        <f>SUM(K6:K9)</f>
        <v/>
      </c>
      <c r="L10" s="9">
        <f>SUM(L6:L9)</f>
        <v/>
      </c>
      <c r="M10" s="9">
        <f>SUM(M6:M9)</f>
        <v/>
      </c>
      <c r="N10" s="9">
        <f>SUM(N6:N9)</f>
        <v/>
      </c>
      <c r="O10" s="9">
        <f>SUM(O6:O9)</f>
        <v/>
      </c>
      <c r="P10" s="9">
        <f>SUM(P6:P9)</f>
        <v/>
      </c>
    </row>
    <row r="11">
      <c r="A11" s="5" t="inlineStr">
        <is>
          <t>NAND Product Family</t>
        </is>
      </c>
    </row>
    <row r="12">
      <c r="A12" s="6" t="inlineStr">
        <is>
          <t xml:space="preserve">  Enterprise SSDs</t>
        </is>
      </c>
      <c r="B12" s="7" t="n">
        <v>1200</v>
      </c>
      <c r="C12" s="7" t="n">
        <v>1800</v>
      </c>
      <c r="D12" s="7" t="n">
        <v>2500</v>
      </c>
      <c r="E12" s="7" t="n">
        <v>2200</v>
      </c>
      <c r="F12" s="7" t="n">
        <v>2000</v>
      </c>
      <c r="G12" s="7" t="n">
        <v>2500</v>
      </c>
      <c r="H12" s="7" t="n">
        <v>3200</v>
      </c>
      <c r="I12" s="7" t="n">
        <v>1500</v>
      </c>
      <c r="J12" s="7" t="n">
        <v>2800</v>
      </c>
      <c r="K12" s="7" t="n">
        <v>4000</v>
      </c>
      <c r="L12" s="7" t="n">
        <v>12000</v>
      </c>
      <c r="M12" s="7" t="n">
        <v>18000</v>
      </c>
      <c r="N12" s="7" t="n">
        <v>16000</v>
      </c>
      <c r="O12" s="7" t="n">
        <v>9000</v>
      </c>
      <c r="P12" s="7" t="n">
        <v>9000</v>
      </c>
    </row>
    <row r="13">
      <c r="A13" s="6" t="inlineStr">
        <is>
          <t xml:space="preserve">  Consumer SSDs &amp; Components</t>
        </is>
      </c>
      <c r="B13" s="7" t="n">
        <v>2520</v>
      </c>
      <c r="C13" s="7" t="n">
        <v>4260</v>
      </c>
      <c r="D13" s="7" t="n">
        <v>6620</v>
      </c>
      <c r="E13" s="7" t="n">
        <v>4720</v>
      </c>
      <c r="F13" s="7" t="n">
        <v>4480</v>
      </c>
      <c r="G13" s="7" t="n">
        <v>4480</v>
      </c>
      <c r="H13" s="7" t="n">
        <v>5700</v>
      </c>
      <c r="I13" s="7" t="n">
        <v>2400</v>
      </c>
      <c r="J13" s="7" t="n">
        <v>4680</v>
      </c>
      <c r="K13" s="7" t="n">
        <v>6000</v>
      </c>
      <c r="L13" s="7" t="n">
        <v>15480</v>
      </c>
      <c r="M13" s="7" t="n">
        <v>22000</v>
      </c>
      <c r="N13" s="7" t="n">
        <v>19000</v>
      </c>
      <c r="O13" s="7" t="n">
        <v>11000</v>
      </c>
      <c r="P13" s="7" t="n">
        <v>11000</v>
      </c>
    </row>
    <row r="14">
      <c r="A14" s="6" t="inlineStr">
        <is>
          <t>Total NAND Revenues</t>
        </is>
      </c>
    </row>
    <row r="15">
      <c r="A15" s="6" t="inlineStr">
        <is>
          <t>Total Segment Revenues</t>
        </is>
      </c>
      <c r="B15" s="9">
        <f>SUM(B13:B14)</f>
        <v/>
      </c>
      <c r="C15" s="9">
        <f>SUM(C13:C14)</f>
        <v/>
      </c>
      <c r="D15" s="9">
        <f>SUM(D13:D14)</f>
        <v/>
      </c>
      <c r="E15" s="9">
        <f>SUM(E13:E14)</f>
        <v/>
      </c>
      <c r="F15" s="9">
        <f>SUM(F13:F14)</f>
        <v/>
      </c>
      <c r="G15" s="9">
        <f>SUM(G13:G14)</f>
        <v/>
      </c>
      <c r="H15" s="9">
        <f>SUM(H13:H14)</f>
        <v/>
      </c>
      <c r="I15" s="9">
        <f>SUM(I13:I14)</f>
        <v/>
      </c>
      <c r="J15" s="9">
        <f>SUM(J13:J14)</f>
        <v/>
      </c>
      <c r="K15" s="9">
        <f>SUM(K13:K14)</f>
        <v/>
      </c>
      <c r="L15" s="9">
        <f>SUM(L13:L14)</f>
        <v/>
      </c>
      <c r="M15" s="9">
        <f>SUM(M13:M14)</f>
        <v/>
      </c>
      <c r="N15" s="9">
        <f>SUM(N13:N14)</f>
        <v/>
      </c>
      <c r="O15" s="9">
        <f>SUM(O13:O14)</f>
        <v/>
      </c>
      <c r="P15" s="9">
        <f>SUM(P13:P14)</f>
        <v/>
      </c>
    </row>
    <row r="16">
      <c r="B16" s="11">
        <f>B10+B15</f>
        <v/>
      </c>
      <c r="C16" s="11">
        <f>C10+C15</f>
        <v/>
      </c>
      <c r="D16" s="11">
        <f>D10+D15</f>
        <v/>
      </c>
      <c r="E16" s="11">
        <f>E10+E15</f>
        <v/>
      </c>
      <c r="F16" s="11">
        <f>F10+F15</f>
        <v/>
      </c>
      <c r="G16" s="11">
        <f>G10+G15</f>
        <v/>
      </c>
      <c r="H16" s="11">
        <f>H10+H15</f>
        <v/>
      </c>
      <c r="I16" s="11">
        <f>I10+I15</f>
        <v/>
      </c>
      <c r="J16" s="11">
        <f>J10+J15</f>
        <v/>
      </c>
      <c r="K16" s="11">
        <f>K10+K15</f>
        <v/>
      </c>
      <c r="L16" s="11">
        <f>L10+L15</f>
        <v/>
      </c>
      <c r="M16" s="11">
        <f>M10+M15</f>
        <v/>
      </c>
      <c r="N16" s="11">
        <f>N10+N15</f>
        <v/>
      </c>
      <c r="O16" s="11">
        <f>O10+O15</f>
        <v/>
      </c>
      <c r="P16" s="11">
        <f>P10+P15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</cols>
  <sheetData>
    <row r="1">
      <c r="A1" s="1" t="inlineStr">
        <is>
          <t>Micron Technology, Inc. (MU) — Cash Flow Statement</t>
        </is>
      </c>
    </row>
    <row r="2">
      <c r="A2" s="2" t="inlineStr">
        <is>
          <t>(USD Millions)</t>
        </is>
      </c>
    </row>
    <row r="3"/>
    <row r="4">
      <c r="A4" s="3" t="inlineStr">
        <is>
          <t>Line Item</t>
        </is>
      </c>
      <c r="B4" s="4" t="inlineStr">
        <is>
          <t>FY 2016</t>
        </is>
      </c>
      <c r="C4" s="4" t="inlineStr">
        <is>
          <t>FY 2017</t>
        </is>
      </c>
      <c r="D4" s="4" t="inlineStr">
        <is>
          <t>FY 2018</t>
        </is>
      </c>
      <c r="E4" s="4" t="inlineStr">
        <is>
          <t>FY 2019</t>
        </is>
      </c>
      <c r="F4" s="4" t="inlineStr">
        <is>
          <t>FY 2020</t>
        </is>
      </c>
      <c r="G4" s="4" t="inlineStr">
        <is>
          <t>FY 2021</t>
        </is>
      </c>
      <c r="H4" s="4" t="inlineStr">
        <is>
          <t>FY 2022</t>
        </is>
      </c>
      <c r="I4" s="4" t="inlineStr">
        <is>
          <t>FY 2023</t>
        </is>
      </c>
      <c r="J4" s="4" t="inlineStr">
        <is>
          <t>FY 2024</t>
        </is>
      </c>
      <c r="K4" s="4" t="inlineStr">
        <is>
          <t>FY 2025</t>
        </is>
      </c>
      <c r="L4" s="4" t="inlineStr">
        <is>
          <t>FY 2026E</t>
        </is>
      </c>
      <c r="M4" s="4" t="inlineStr">
        <is>
          <t>FY 2027E</t>
        </is>
      </c>
      <c r="N4" s="4" t="inlineStr">
        <is>
          <t>FY 2028E</t>
        </is>
      </c>
      <c r="O4" s="4" t="inlineStr">
        <is>
          <t>FY 2029E</t>
        </is>
      </c>
      <c r="P4" s="4" t="inlineStr">
        <is>
          <t>FY 2030E</t>
        </is>
      </c>
    </row>
    <row r="5">
      <c r="A5" s="5" t="inlineStr">
        <is>
          <t>Operating Activities</t>
        </is>
      </c>
    </row>
    <row r="6">
      <c r="A6" s="6" t="inlineStr">
        <is>
          <t>Net Income</t>
        </is>
      </c>
      <c r="B6" s="13">
        <f>'Income Statement'!B22</f>
        <v/>
      </c>
      <c r="C6" s="13">
        <f>'Income Statement'!C22</f>
        <v/>
      </c>
      <c r="D6" s="13">
        <f>'Income Statement'!D22</f>
        <v/>
      </c>
      <c r="E6" s="13">
        <f>'Income Statement'!E22</f>
        <v/>
      </c>
      <c r="F6" s="13">
        <f>'Income Statement'!F22</f>
        <v/>
      </c>
      <c r="G6" s="13">
        <f>'Income Statement'!G22</f>
        <v/>
      </c>
      <c r="H6" s="13">
        <f>'Income Statement'!H22</f>
        <v/>
      </c>
      <c r="I6" s="13">
        <f>'Income Statement'!I22</f>
        <v/>
      </c>
      <c r="J6" s="13">
        <f>'Income Statement'!J22</f>
        <v/>
      </c>
      <c r="K6" s="13">
        <f>'Income Statement'!K22</f>
        <v/>
      </c>
      <c r="L6" s="13">
        <f>'Income Statement'!L22</f>
        <v/>
      </c>
      <c r="M6" s="13">
        <f>'Income Statement'!M22</f>
        <v/>
      </c>
      <c r="N6" s="13">
        <f>'Income Statement'!N22</f>
        <v/>
      </c>
      <c r="O6" s="13">
        <f>'Income Statement'!O22</f>
        <v/>
      </c>
      <c r="P6" s="13">
        <f>'Income Statement'!P22</f>
        <v/>
      </c>
    </row>
    <row r="7">
      <c r="A7" s="6" t="inlineStr">
        <is>
          <t>Depreciation &amp; Amortization</t>
        </is>
      </c>
      <c r="B7" s="7" t="n">
        <v>3000</v>
      </c>
      <c r="C7" s="7" t="n">
        <v>3900</v>
      </c>
      <c r="D7" s="7" t="n">
        <v>4800</v>
      </c>
      <c r="E7" s="7" t="n">
        <v>5400</v>
      </c>
      <c r="F7" s="7" t="n">
        <v>5700</v>
      </c>
      <c r="G7" s="7" t="n">
        <v>6100</v>
      </c>
      <c r="H7" s="7" t="n">
        <v>7000</v>
      </c>
      <c r="I7" s="7" t="n">
        <v>7700</v>
      </c>
      <c r="J7" s="7" t="n">
        <v>7700</v>
      </c>
      <c r="K7" s="7" t="n">
        <v>8300</v>
      </c>
      <c r="L7" s="7" t="n">
        <v>12070</v>
      </c>
      <c r="M7" s="7" t="n">
        <v>11600</v>
      </c>
      <c r="N7" s="7" t="n">
        <v>13240</v>
      </c>
      <c r="O7" s="7" t="n">
        <v>12000</v>
      </c>
      <c r="P7" s="7" t="n">
        <v>12000</v>
      </c>
    </row>
    <row r="8">
      <c r="A8" s="6" t="inlineStr">
        <is>
          <t>Stock-Based Compensation</t>
        </is>
      </c>
      <c r="B8" s="7" t="n">
        <v>200</v>
      </c>
      <c r="C8" s="7" t="n">
        <v>200</v>
      </c>
      <c r="D8" s="7" t="n">
        <v>200</v>
      </c>
      <c r="E8" s="7" t="n">
        <v>200</v>
      </c>
      <c r="F8" s="7" t="n">
        <v>300</v>
      </c>
      <c r="G8" s="7" t="n">
        <v>400</v>
      </c>
      <c r="H8" s="7" t="n">
        <v>500</v>
      </c>
      <c r="I8" s="7" t="n">
        <v>600</v>
      </c>
      <c r="J8" s="7" t="n">
        <v>800</v>
      </c>
      <c r="K8" s="7" t="n">
        <v>1000</v>
      </c>
      <c r="L8" s="7" t="n">
        <v>1200</v>
      </c>
      <c r="M8" s="7" t="n">
        <v>1500</v>
      </c>
      <c r="N8" s="7" t="n">
        <v>1400</v>
      </c>
      <c r="O8" s="7" t="n">
        <v>1200</v>
      </c>
      <c r="P8" s="7" t="n">
        <v>1200</v>
      </c>
    </row>
    <row r="9">
      <c r="A9" s="6" t="inlineStr">
        <is>
          <t>Changes in Net Working Capital</t>
        </is>
      </c>
      <c r="B9" s="14">
        <f>SUM(B6:B8)</f>
        <v/>
      </c>
      <c r="C9" s="14">
        <f>SUM(C6:C8)</f>
        <v/>
      </c>
      <c r="D9" s="14">
        <f>SUM(D6:D8)</f>
        <v/>
      </c>
      <c r="E9" s="14">
        <f>SUM(E6:E8)</f>
        <v/>
      </c>
      <c r="F9" s="14">
        <f>SUM(F6:F8)</f>
        <v/>
      </c>
      <c r="G9" s="14">
        <f>SUM(G6:G8)</f>
        <v/>
      </c>
      <c r="H9" s="14">
        <f>SUM(H6:H8)</f>
        <v/>
      </c>
      <c r="I9" s="14">
        <f>SUM(I6:I8)</f>
        <v/>
      </c>
      <c r="J9" s="14">
        <f>SUM(J6:J8)</f>
        <v/>
      </c>
      <c r="K9" s="14">
        <f>SUM(K6:K8)</f>
        <v/>
      </c>
      <c r="L9" s="14">
        <f>SUM(L6:L8)</f>
        <v/>
      </c>
      <c r="M9" s="14">
        <f>SUM(M6:M8)</f>
        <v/>
      </c>
      <c r="N9" s="14">
        <f>SUM(N6:N8)</f>
        <v/>
      </c>
      <c r="O9" s="14">
        <f>SUM(O6:O8)</f>
        <v/>
      </c>
      <c r="P9" s="14">
        <f>SUM(P6:P8)</f>
        <v/>
      </c>
    </row>
    <row r="10">
      <c r="A10" s="6" t="inlineStr">
        <is>
          <t>Cash from Operations (CFO)</t>
        </is>
      </c>
    </row>
    <row r="11">
      <c r="A11" s="5" t="inlineStr">
        <is>
          <t>Investing Activities</t>
        </is>
      </c>
    </row>
    <row r="12">
      <c r="A12" s="6" t="inlineStr">
        <is>
          <t>Capital Expenditures</t>
        </is>
      </c>
      <c r="B12" s="7" t="n">
        <v>-5800</v>
      </c>
      <c r="C12" s="7" t="n">
        <v>-4700</v>
      </c>
      <c r="D12" s="7" t="n">
        <v>-8900</v>
      </c>
      <c r="E12" s="7" t="n">
        <v>-9800</v>
      </c>
      <c r="F12" s="7" t="n">
        <v>-8200</v>
      </c>
      <c r="G12" s="7" t="n">
        <v>-10000</v>
      </c>
      <c r="H12" s="7" t="n">
        <v>-12100</v>
      </c>
      <c r="I12" s="7" t="n">
        <v>-7700</v>
      </c>
      <c r="J12" s="7" t="n">
        <v>-8400</v>
      </c>
      <c r="K12" s="7" t="n">
        <v>-15900</v>
      </c>
      <c r="L12" s="7" t="n">
        <v>-25000</v>
      </c>
      <c r="M12" s="7" t="n">
        <v>-28000</v>
      </c>
      <c r="N12" s="7" t="n">
        <v>-22000</v>
      </c>
      <c r="O12" s="7" t="n">
        <v>-15000</v>
      </c>
      <c r="P12" s="7" t="n">
        <v>-15000</v>
      </c>
    </row>
    <row r="13">
      <c r="A13" s="6" t="inlineStr">
        <is>
          <t>Other Investing</t>
        </is>
      </c>
      <c r="B13" s="14">
        <f>SUM(B11:B12)</f>
        <v/>
      </c>
      <c r="C13" s="14">
        <f>SUM(C11:C12)</f>
        <v/>
      </c>
      <c r="D13" s="14">
        <f>SUM(D11:D12)</f>
        <v/>
      </c>
      <c r="E13" s="14">
        <f>SUM(E11:E12)</f>
        <v/>
      </c>
      <c r="F13" s="14">
        <f>SUM(F11:F12)</f>
        <v/>
      </c>
      <c r="G13" s="14">
        <f>SUM(G11:G12)</f>
        <v/>
      </c>
      <c r="H13" s="14">
        <f>SUM(H11:H12)</f>
        <v/>
      </c>
      <c r="I13" s="14">
        <f>SUM(I11:I12)</f>
        <v/>
      </c>
      <c r="J13" s="14">
        <f>SUM(J11:J12)</f>
        <v/>
      </c>
      <c r="K13" s="14">
        <f>SUM(K11:K12)</f>
        <v/>
      </c>
      <c r="L13" s="14">
        <f>SUM(L11:L12)</f>
        <v/>
      </c>
      <c r="M13" s="14">
        <f>SUM(M11:M12)</f>
        <v/>
      </c>
      <c r="N13" s="14">
        <f>SUM(N11:N12)</f>
        <v/>
      </c>
      <c r="O13" s="14">
        <f>SUM(O11:O12)</f>
        <v/>
      </c>
      <c r="P13" s="14">
        <f>SUM(P11:P12)</f>
        <v/>
      </c>
    </row>
    <row r="14">
      <c r="A14" s="6" t="inlineStr">
        <is>
          <t>Cash from Investing (CFI)</t>
        </is>
      </c>
    </row>
    <row r="15">
      <c r="A15" s="5" t="inlineStr">
        <is>
          <t>Financing Activities</t>
        </is>
      </c>
    </row>
    <row r="16">
      <c r="A16" s="6" t="inlineStr">
        <is>
          <t>Net Borrowing (Repayment) of Debt</t>
        </is>
      </c>
      <c r="B16" s="7" t="n">
        <v>2000</v>
      </c>
      <c r="C16" s="7" t="n">
        <v>1300</v>
      </c>
      <c r="D16" s="7" t="n">
        <v>-6600</v>
      </c>
      <c r="E16" s="7" t="n">
        <v>1300</v>
      </c>
      <c r="F16" s="7" t="n">
        <v>1300</v>
      </c>
      <c r="G16" s="7" t="n">
        <v>100</v>
      </c>
      <c r="H16" s="7" t="n">
        <v>300</v>
      </c>
      <c r="I16" s="7" t="n">
        <v>6400</v>
      </c>
      <c r="J16" s="7" t="n">
        <v>100</v>
      </c>
      <c r="K16" s="7" t="n">
        <v>1300</v>
      </c>
      <c r="L16" s="7" t="n">
        <v>-4600</v>
      </c>
      <c r="M16" s="7" t="n">
        <v>0</v>
      </c>
      <c r="N16" s="7" t="n">
        <v>0</v>
      </c>
      <c r="O16" s="7" t="n">
        <v>0</v>
      </c>
      <c r="P16" s="7" t="n">
        <v>0</v>
      </c>
    </row>
    <row r="17">
      <c r="A17" s="6" t="inlineStr">
        <is>
          <t>Dividends &amp; Other Financing</t>
        </is>
      </c>
      <c r="B17" s="14">
        <f>SUM(B15:B16)</f>
        <v/>
      </c>
      <c r="C17" s="14">
        <f>SUM(C15:C16)</f>
        <v/>
      </c>
      <c r="D17" s="14">
        <f>SUM(D15:D16)</f>
        <v/>
      </c>
      <c r="E17" s="14">
        <f>SUM(E15:E16)</f>
        <v/>
      </c>
      <c r="F17" s="14">
        <f>SUM(F15:F16)</f>
        <v/>
      </c>
      <c r="G17" s="14">
        <f>SUM(G15:G16)</f>
        <v/>
      </c>
      <c r="H17" s="14">
        <f>SUM(H15:H16)</f>
        <v/>
      </c>
      <c r="I17" s="14">
        <f>SUM(I15:I16)</f>
        <v/>
      </c>
      <c r="J17" s="14">
        <f>SUM(J15:J16)</f>
        <v/>
      </c>
      <c r="K17" s="14">
        <f>SUM(K15:K16)</f>
        <v/>
      </c>
      <c r="L17" s="14">
        <f>SUM(L15:L16)</f>
        <v/>
      </c>
      <c r="M17" s="14">
        <f>SUM(M15:M16)</f>
        <v/>
      </c>
      <c r="N17" s="14">
        <f>SUM(N15:N16)</f>
        <v/>
      </c>
      <c r="O17" s="14">
        <f>SUM(O15:O16)</f>
        <v/>
      </c>
      <c r="P17" s="14">
        <f>SUM(P15:P16)</f>
        <v/>
      </c>
    </row>
    <row r="18">
      <c r="A18" s="6" t="inlineStr">
        <is>
          <t>Cash from Financing (CFF)</t>
        </is>
      </c>
      <c r="B18" s="11">
        <f>B9+B13+B17</f>
        <v/>
      </c>
      <c r="C18" s="11">
        <f>C9+C13+C17</f>
        <v/>
      </c>
      <c r="D18" s="11">
        <f>D9+D13+D17</f>
        <v/>
      </c>
      <c r="E18" s="11">
        <f>E9+E13+E17</f>
        <v/>
      </c>
      <c r="F18" s="11">
        <f>F9+F13+F17</f>
        <v/>
      </c>
      <c r="G18" s="11">
        <f>G9+G13+G17</f>
        <v/>
      </c>
      <c r="H18" s="11">
        <f>H9+H13+H17</f>
        <v/>
      </c>
      <c r="I18" s="11">
        <f>I9+I13+I17</f>
        <v/>
      </c>
      <c r="J18" s="11">
        <f>J9+J13+J17</f>
        <v/>
      </c>
      <c r="K18" s="11">
        <f>K9+K13+K17</f>
        <v/>
      </c>
      <c r="L18" s="11">
        <f>L9+L13+L17</f>
        <v/>
      </c>
      <c r="M18" s="11">
        <f>M9+M13+M17</f>
        <v/>
      </c>
      <c r="N18" s="11">
        <f>N9+N13+N17</f>
        <v/>
      </c>
      <c r="O18" s="11">
        <f>O9+O13+O17</f>
        <v/>
      </c>
      <c r="P18" s="11">
        <f>P9+P13+P17</f>
        <v/>
      </c>
    </row>
    <row r="19">
      <c r="A19" s="6" t="inlineStr">
        <is>
          <t>Net Change in 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7" customWidth="1" min="13" max="13"/>
    <col width="37" customWidth="1" min="14" max="14"/>
    <col width="37" customWidth="1" min="15" max="15"/>
    <col width="37" customWidth="1" min="16" max="16"/>
  </cols>
  <sheetData>
    <row r="1">
      <c r="A1" s="1" t="inlineStr">
        <is>
          <t>Micron Technology, Inc. (MU) — Balance Sheet</t>
        </is>
      </c>
    </row>
    <row r="2">
      <c r="A2" s="2" t="inlineStr">
        <is>
          <t>(USD Millions)</t>
        </is>
      </c>
    </row>
    <row r="3"/>
    <row r="4">
      <c r="A4" s="3" t="inlineStr">
        <is>
          <t>Line Item</t>
        </is>
      </c>
      <c r="B4" s="4" t="inlineStr">
        <is>
          <t>FY 2016</t>
        </is>
      </c>
      <c r="C4" s="4" t="inlineStr">
        <is>
          <t>FY 2017</t>
        </is>
      </c>
      <c r="D4" s="4" t="inlineStr">
        <is>
          <t>FY 2018</t>
        </is>
      </c>
      <c r="E4" s="4" t="inlineStr">
        <is>
          <t>FY 2019</t>
        </is>
      </c>
      <c r="F4" s="4" t="inlineStr">
        <is>
          <t>FY 2020</t>
        </is>
      </c>
      <c r="G4" s="4" t="inlineStr">
        <is>
          <t>FY 2021</t>
        </is>
      </c>
      <c r="H4" s="4" t="inlineStr">
        <is>
          <t>FY 2022</t>
        </is>
      </c>
      <c r="I4" s="4" t="inlineStr">
        <is>
          <t>FY 2023</t>
        </is>
      </c>
      <c r="J4" s="4" t="inlineStr">
        <is>
          <t>FY 2024</t>
        </is>
      </c>
      <c r="K4" s="4" t="inlineStr">
        <is>
          <t>FY 2025</t>
        </is>
      </c>
      <c r="L4" s="4" t="inlineStr">
        <is>
          <t>FY 2026E</t>
        </is>
      </c>
      <c r="M4" s="4" t="inlineStr">
        <is>
          <t>FY 2027E</t>
        </is>
      </c>
      <c r="N4" s="4" t="inlineStr">
        <is>
          <t>FY 2028E</t>
        </is>
      </c>
      <c r="O4" s="4" t="inlineStr">
        <is>
          <t>FY 2029E</t>
        </is>
      </c>
      <c r="P4" s="4" t="inlineStr">
        <is>
          <t>FY 2030E</t>
        </is>
      </c>
    </row>
    <row r="5">
      <c r="A5" s="5" t="inlineStr">
        <is>
          <t>ASSETS</t>
        </is>
      </c>
    </row>
    <row r="6">
      <c r="A6" s="5" t="inlineStr">
        <is>
          <t>Current Assets</t>
        </is>
      </c>
    </row>
    <row r="7">
      <c r="A7" s="6" t="inlineStr">
        <is>
          <t xml:space="preserve">  Cash &amp; Equivalents</t>
        </is>
      </c>
      <c r="B7" s="7" t="n">
        <v>4400</v>
      </c>
      <c r="C7" s="7" t="n">
        <v>5400</v>
      </c>
      <c r="D7" s="7" t="n">
        <v>6800</v>
      </c>
      <c r="E7" s="7" t="n">
        <v>8000</v>
      </c>
      <c r="F7" s="7" t="n">
        <v>8100</v>
      </c>
      <c r="G7" s="7" t="n">
        <v>8600</v>
      </c>
      <c r="H7" s="7" t="n">
        <v>9300</v>
      </c>
      <c r="I7" s="7" t="n">
        <v>9600</v>
      </c>
      <c r="J7" s="7" t="n">
        <v>8100</v>
      </c>
      <c r="K7" s="7" t="n">
        <v>10300</v>
      </c>
      <c r="L7" s="7" t="n">
        <v>24000</v>
      </c>
      <c r="M7" s="7" t="n">
        <v>60000</v>
      </c>
      <c r="N7" s="7" t="n">
        <v>75000</v>
      </c>
      <c r="O7" s="7" t="n">
        <v>80000</v>
      </c>
      <c r="P7" s="7" t="n">
        <v>85000</v>
      </c>
    </row>
    <row r="8">
      <c r="A8" s="6" t="inlineStr">
        <is>
          <t xml:space="preserve">  Accounts Receivable</t>
        </is>
      </c>
      <c r="B8" s="7" t="n">
        <v>1500</v>
      </c>
      <c r="C8" s="7" t="n">
        <v>2100</v>
      </c>
      <c r="D8" s="7" t="n">
        <v>2800</v>
      </c>
      <c r="E8" s="7" t="n">
        <v>2500</v>
      </c>
      <c r="F8" s="7" t="n">
        <v>2000</v>
      </c>
      <c r="G8" s="7" t="n">
        <v>2600</v>
      </c>
      <c r="H8" s="7" t="n">
        <v>3100</v>
      </c>
      <c r="I8" s="7" t="n">
        <v>2100</v>
      </c>
      <c r="J8" s="7" t="n">
        <v>2900</v>
      </c>
      <c r="K8" s="7" t="n">
        <v>4200</v>
      </c>
      <c r="L8" s="7" t="n">
        <v>7200</v>
      </c>
      <c r="M8" s="7" t="n">
        <v>11200</v>
      </c>
      <c r="N8" s="7" t="n">
        <v>9200</v>
      </c>
      <c r="O8" s="7" t="n">
        <v>6200</v>
      </c>
      <c r="P8" s="7" t="n">
        <v>6200</v>
      </c>
    </row>
    <row r="9">
      <c r="A9" s="6" t="inlineStr">
        <is>
          <t xml:space="preserve">  Inventories</t>
        </is>
      </c>
      <c r="B9" s="7" t="n">
        <v>2000</v>
      </c>
      <c r="C9" s="7" t="n">
        <v>2500</v>
      </c>
      <c r="D9" s="7" t="n">
        <v>3200</v>
      </c>
      <c r="E9" s="7" t="n">
        <v>2800</v>
      </c>
      <c r="F9" s="7" t="n">
        <v>2200</v>
      </c>
      <c r="G9" s="7" t="n">
        <v>3100</v>
      </c>
      <c r="H9" s="7" t="n">
        <v>3900</v>
      </c>
      <c r="I9" s="7" t="n">
        <v>2900</v>
      </c>
      <c r="J9" s="7" t="n">
        <v>3500</v>
      </c>
      <c r="K9" s="7" t="n">
        <v>4600</v>
      </c>
      <c r="L9" s="7" t="n">
        <v>8600</v>
      </c>
      <c r="M9" s="7" t="n">
        <v>13600</v>
      </c>
      <c r="N9" s="7" t="n">
        <v>11600</v>
      </c>
      <c r="O9" s="7" t="n">
        <v>8600</v>
      </c>
      <c r="P9" s="7" t="n">
        <v>8600</v>
      </c>
    </row>
    <row r="10">
      <c r="A10" s="6" t="inlineStr">
        <is>
          <t xml:space="preserve">  Other Current Assets</t>
        </is>
      </c>
      <c r="B10" s="7" t="n">
        <v>400</v>
      </c>
      <c r="C10" s="7" t="n">
        <v>500</v>
      </c>
      <c r="D10" s="7" t="n">
        <v>600</v>
      </c>
      <c r="E10" s="7" t="n">
        <v>500</v>
      </c>
      <c r="F10" s="7" t="n">
        <v>400</v>
      </c>
      <c r="G10" s="7" t="n">
        <v>500</v>
      </c>
      <c r="H10" s="7" t="n">
        <v>700</v>
      </c>
      <c r="I10" s="7" t="n">
        <v>500</v>
      </c>
      <c r="J10" s="7" t="n">
        <v>700</v>
      </c>
      <c r="K10" s="7" t="n">
        <v>900</v>
      </c>
      <c r="L10" s="7" t="n">
        <v>1500</v>
      </c>
      <c r="M10" s="7" t="n">
        <v>2500</v>
      </c>
      <c r="N10" s="7" t="n">
        <v>2500</v>
      </c>
      <c r="O10" s="7" t="n">
        <v>2500</v>
      </c>
      <c r="P10" s="7" t="n">
        <v>2500</v>
      </c>
    </row>
    <row r="11">
      <c r="A11" s="6" t="inlineStr">
        <is>
          <t>Total Current Assets</t>
        </is>
      </c>
      <c r="B11" s="9">
        <f>SUM(B7:B10)</f>
        <v/>
      </c>
      <c r="C11" s="9">
        <f>SUM(C7:C10)</f>
        <v/>
      </c>
      <c r="D11" s="9">
        <f>SUM(D7:D10)</f>
        <v/>
      </c>
      <c r="E11" s="9">
        <f>SUM(E7:E10)</f>
        <v/>
      </c>
      <c r="F11" s="9">
        <f>SUM(F7:F10)</f>
        <v/>
      </c>
      <c r="G11" s="9">
        <f>SUM(G7:G10)</f>
        <v/>
      </c>
      <c r="H11" s="9">
        <f>SUM(H7:H10)</f>
        <v/>
      </c>
      <c r="I11" s="9">
        <f>SUM(I7:I10)</f>
        <v/>
      </c>
      <c r="J11" s="9">
        <f>SUM(J7:J10)</f>
        <v/>
      </c>
      <c r="K11" s="9">
        <f>SUM(K7:K10)</f>
        <v/>
      </c>
      <c r="L11" s="9">
        <f>SUM(L7:L10)</f>
        <v/>
      </c>
      <c r="M11" s="9">
        <f>SUM(M7:M10)</f>
        <v/>
      </c>
      <c r="N11" s="9">
        <f>SUM(N7:N10)</f>
        <v/>
      </c>
      <c r="O11" s="9">
        <f>SUM(O7:O10)</f>
        <v/>
      </c>
      <c r="P11" s="9">
        <f>SUM(P7:P10)</f>
        <v/>
      </c>
    </row>
    <row r="12">
      <c r="A12" s="5" t="inlineStr">
        <is>
          <t>Non-Current Assets</t>
        </is>
      </c>
    </row>
    <row r="13">
      <c r="A13" s="6" t="inlineStr">
        <is>
          <t xml:space="preserve">  Property, Plant &amp; Equipment (Net)</t>
        </is>
      </c>
      <c r="B13" s="7" t="n">
        <v>12000</v>
      </c>
      <c r="C13" s="7" t="n">
        <v>14000</v>
      </c>
      <c r="D13" s="7" t="n">
        <v>17000</v>
      </c>
      <c r="E13" s="7" t="n">
        <v>21000</v>
      </c>
      <c r="F13" s="7" t="n">
        <v>22000</v>
      </c>
      <c r="G13" s="7" t="n">
        <v>26000</v>
      </c>
      <c r="H13" s="7" t="n">
        <v>31000</v>
      </c>
      <c r="I13" s="7" t="n">
        <v>31000</v>
      </c>
      <c r="J13" s="7" t="n">
        <v>32000</v>
      </c>
      <c r="K13" s="7" t="n">
        <v>40000</v>
      </c>
      <c r="L13" s="7" t="n">
        <v>53000</v>
      </c>
      <c r="M13" s="7" t="n">
        <v>70000</v>
      </c>
      <c r="N13" s="7" t="n">
        <v>78000</v>
      </c>
      <c r="O13" s="7" t="n">
        <v>81000</v>
      </c>
      <c r="P13" s="7" t="n">
        <v>84000</v>
      </c>
    </row>
    <row r="14">
      <c r="A14" s="6" t="inlineStr">
        <is>
          <t xml:space="preserve">  Goodwill &amp; Intangibles</t>
        </is>
      </c>
      <c r="B14" s="7" t="n">
        <v>1500</v>
      </c>
      <c r="C14" s="7" t="n">
        <v>1400</v>
      </c>
      <c r="D14" s="7" t="n">
        <v>1300</v>
      </c>
      <c r="E14" s="7" t="n">
        <v>1200</v>
      </c>
      <c r="F14" s="7" t="n">
        <v>1100</v>
      </c>
      <c r="G14" s="7" t="n">
        <v>1000</v>
      </c>
      <c r="H14" s="7" t="n">
        <v>900</v>
      </c>
      <c r="I14" s="7" t="n">
        <v>800</v>
      </c>
      <c r="J14" s="7" t="n">
        <v>700</v>
      </c>
      <c r="K14" s="7" t="n">
        <v>600</v>
      </c>
      <c r="L14" s="7" t="n">
        <v>500</v>
      </c>
      <c r="M14" s="7" t="n">
        <v>400</v>
      </c>
      <c r="N14" s="7" t="n">
        <v>300</v>
      </c>
      <c r="O14" s="7" t="n">
        <v>200</v>
      </c>
      <c r="P14" s="7" t="n">
        <v>100</v>
      </c>
    </row>
    <row r="15">
      <c r="A15" s="6" t="inlineStr">
        <is>
          <t xml:space="preserve">  Other Non-Current Assets</t>
        </is>
      </c>
      <c r="B15" s="7" t="n">
        <v>600</v>
      </c>
      <c r="C15" s="7" t="n">
        <v>700</v>
      </c>
      <c r="D15" s="7" t="n">
        <v>800</v>
      </c>
      <c r="E15" s="7" t="n">
        <v>900</v>
      </c>
      <c r="F15" s="7" t="n">
        <v>800</v>
      </c>
      <c r="G15" s="7" t="n">
        <v>900</v>
      </c>
      <c r="H15" s="7" t="n">
        <v>1100</v>
      </c>
      <c r="I15" s="7" t="n">
        <v>900</v>
      </c>
      <c r="J15" s="7" t="n">
        <v>1100</v>
      </c>
      <c r="K15" s="7" t="n">
        <v>1300</v>
      </c>
      <c r="L15" s="7" t="n">
        <v>2000</v>
      </c>
      <c r="M15" s="7" t="n">
        <v>3000</v>
      </c>
      <c r="N15" s="7" t="n">
        <v>3000</v>
      </c>
      <c r="O15" s="7" t="n">
        <v>3000</v>
      </c>
      <c r="P15" s="7" t="n">
        <v>3000</v>
      </c>
    </row>
    <row r="16">
      <c r="A16" s="6" t="inlineStr">
        <is>
          <t>Total Non-Current Assets</t>
        </is>
      </c>
      <c r="B16" s="9">
        <f>SUM(B13:B15)</f>
        <v/>
      </c>
      <c r="C16" s="9">
        <f>SUM(C13:C15)</f>
        <v/>
      </c>
      <c r="D16" s="9">
        <f>SUM(D13:D15)</f>
        <v/>
      </c>
      <c r="E16" s="9">
        <f>SUM(E13:E15)</f>
        <v/>
      </c>
      <c r="F16" s="9">
        <f>SUM(F13:F15)</f>
        <v/>
      </c>
      <c r="G16" s="9">
        <f>SUM(G13:G15)</f>
        <v/>
      </c>
      <c r="H16" s="9">
        <f>SUM(H13:H15)</f>
        <v/>
      </c>
      <c r="I16" s="9">
        <f>SUM(I13:I15)</f>
        <v/>
      </c>
      <c r="J16" s="9">
        <f>SUM(J13:J15)</f>
        <v/>
      </c>
      <c r="K16" s="9">
        <f>SUM(K13:K15)</f>
        <v/>
      </c>
      <c r="L16" s="9">
        <f>SUM(L13:L15)</f>
        <v/>
      </c>
      <c r="M16" s="9">
        <f>SUM(M13:M15)</f>
        <v/>
      </c>
      <c r="N16" s="9">
        <f>SUM(N13:N15)</f>
        <v/>
      </c>
      <c r="O16" s="9">
        <f>SUM(O13:O15)</f>
        <v/>
      </c>
      <c r="P16" s="9">
        <f>SUM(P13:P15)</f>
        <v/>
      </c>
    </row>
    <row r="17">
      <c r="A17" s="6" t="inlineStr">
        <is>
          <t>TOTAL ASSETS</t>
        </is>
      </c>
      <c r="B17" s="11">
        <f>B11+B16</f>
        <v/>
      </c>
      <c r="C17" s="11">
        <f>C11+C16</f>
        <v/>
      </c>
      <c r="D17" s="11">
        <f>D11+D16</f>
        <v/>
      </c>
      <c r="E17" s="11">
        <f>E11+E16</f>
        <v/>
      </c>
      <c r="F17" s="11">
        <f>F11+F16</f>
        <v/>
      </c>
      <c r="G17" s="11">
        <f>G11+G16</f>
        <v/>
      </c>
      <c r="H17" s="11">
        <f>H11+H16</f>
        <v/>
      </c>
      <c r="I17" s="11">
        <f>I11+I16</f>
        <v/>
      </c>
      <c r="J17" s="11">
        <f>J11+J16</f>
        <v/>
      </c>
      <c r="K17" s="11">
        <f>K11+K16</f>
        <v/>
      </c>
      <c r="L17" s="11">
        <f>L11+L16</f>
        <v/>
      </c>
      <c r="M17" s="11">
        <f>M11+M16</f>
        <v/>
      </c>
      <c r="N17" s="11">
        <f>N11+N16</f>
        <v/>
      </c>
      <c r="O17" s="11">
        <f>O11+O16</f>
        <v/>
      </c>
      <c r="P17" s="11">
        <f>P11+P16</f>
        <v/>
      </c>
    </row>
    <row r="18">
      <c r="A18" s="5" t="inlineStr">
        <is>
          <t>LIABILITIES &amp; EQUITY</t>
        </is>
      </c>
    </row>
    <row r="19">
      <c r="A19" s="5" t="inlineStr">
        <is>
          <t>Current Liabilities</t>
        </is>
      </c>
    </row>
    <row r="20">
      <c r="A20" s="6" t="inlineStr">
        <is>
          <t xml:space="preserve">  Accounts Payable</t>
        </is>
      </c>
      <c r="B20" s="7" t="n">
        <v>1000</v>
      </c>
      <c r="C20" s="7" t="n">
        <v>1400</v>
      </c>
      <c r="D20" s="7" t="n">
        <v>1800</v>
      </c>
      <c r="E20" s="7" t="n">
        <v>1600</v>
      </c>
      <c r="F20" s="7" t="n">
        <v>1300</v>
      </c>
      <c r="G20" s="7" t="n">
        <v>1800</v>
      </c>
      <c r="H20" s="7" t="n">
        <v>2200</v>
      </c>
      <c r="I20" s="7" t="n">
        <v>1300</v>
      </c>
      <c r="J20" s="7" t="n">
        <v>1900</v>
      </c>
      <c r="K20" s="7" t="n">
        <v>2500</v>
      </c>
      <c r="L20" s="7" t="n">
        <v>5000</v>
      </c>
      <c r="M20" s="7" t="n">
        <v>7500</v>
      </c>
      <c r="N20" s="7" t="n">
        <v>6500</v>
      </c>
      <c r="O20" s="7" t="n">
        <v>4500</v>
      </c>
      <c r="P20" s="7" t="n">
        <v>4500</v>
      </c>
    </row>
    <row r="21">
      <c r="A21" s="6" t="inlineStr">
        <is>
          <t xml:space="preserve">  Short-term Debt</t>
        </is>
      </c>
      <c r="B21" s="7" t="n">
        <v>1500</v>
      </c>
      <c r="C21" s="7" t="n">
        <v>1800</v>
      </c>
      <c r="D21" s="7" t="n">
        <v>800</v>
      </c>
      <c r="E21" s="7" t="n">
        <v>1000</v>
      </c>
      <c r="F21" s="7" t="n">
        <v>1200</v>
      </c>
      <c r="G21" s="7" t="n">
        <v>1200</v>
      </c>
      <c r="H21" s="7" t="n">
        <v>1300</v>
      </c>
      <c r="I21" s="7" t="n">
        <v>2400</v>
      </c>
      <c r="J21" s="7" t="n">
        <v>2400</v>
      </c>
      <c r="K21" s="7" t="n">
        <v>2600</v>
      </c>
      <c r="L21" s="7" t="n">
        <v>1800</v>
      </c>
      <c r="M21" s="7" t="n">
        <v>1800</v>
      </c>
      <c r="N21" s="7" t="n">
        <v>1800</v>
      </c>
      <c r="O21" s="7" t="n">
        <v>1800</v>
      </c>
      <c r="P21" s="7" t="n">
        <v>1800</v>
      </c>
    </row>
    <row r="22">
      <c r="A22" s="6" t="inlineStr">
        <is>
          <t xml:space="preserve">  Other Current Liabilities</t>
        </is>
      </c>
      <c r="B22" s="7" t="n">
        <v>500</v>
      </c>
      <c r="C22" s="7" t="n">
        <v>700</v>
      </c>
      <c r="D22" s="7" t="n">
        <v>900</v>
      </c>
      <c r="E22" s="7" t="n">
        <v>800</v>
      </c>
      <c r="F22" s="7" t="n">
        <v>700</v>
      </c>
      <c r="G22" s="7" t="n">
        <v>900</v>
      </c>
      <c r="H22" s="7" t="n">
        <v>1100</v>
      </c>
      <c r="I22" s="7" t="n">
        <v>800</v>
      </c>
      <c r="J22" s="7" t="n">
        <v>1100</v>
      </c>
      <c r="K22" s="7" t="n">
        <v>1400</v>
      </c>
      <c r="L22" s="7" t="n">
        <v>2500</v>
      </c>
      <c r="M22" s="7" t="n">
        <v>3800</v>
      </c>
      <c r="N22" s="7" t="n">
        <v>3200</v>
      </c>
      <c r="O22" s="7" t="n">
        <v>2200</v>
      </c>
      <c r="P22" s="7" t="n">
        <v>2200</v>
      </c>
    </row>
    <row r="23">
      <c r="A23" s="6" t="inlineStr">
        <is>
          <t>Total Current Liabilities</t>
        </is>
      </c>
      <c r="B23" s="9">
        <f>SUM(B20:B22)</f>
        <v/>
      </c>
      <c r="C23" s="9">
        <f>SUM(C20:C22)</f>
        <v/>
      </c>
      <c r="D23" s="9">
        <f>SUM(D20:D22)</f>
        <v/>
      </c>
      <c r="E23" s="9">
        <f>SUM(E20:E22)</f>
        <v/>
      </c>
      <c r="F23" s="9">
        <f>SUM(F20:F22)</f>
        <v/>
      </c>
      <c r="G23" s="9">
        <f>SUM(G20:G22)</f>
        <v/>
      </c>
      <c r="H23" s="9">
        <f>SUM(H20:H22)</f>
        <v/>
      </c>
      <c r="I23" s="9">
        <f>SUM(I20:I22)</f>
        <v/>
      </c>
      <c r="J23" s="9">
        <f>SUM(J20:J22)</f>
        <v/>
      </c>
      <c r="K23" s="9">
        <f>SUM(K20:K22)</f>
        <v/>
      </c>
      <c r="L23" s="9">
        <f>SUM(L20:L22)</f>
        <v/>
      </c>
      <c r="M23" s="9">
        <f>SUM(M20:M22)</f>
        <v/>
      </c>
      <c r="N23" s="9">
        <f>SUM(N20:N22)</f>
        <v/>
      </c>
      <c r="O23" s="9">
        <f>SUM(O20:O22)</f>
        <v/>
      </c>
      <c r="P23" s="9">
        <f>SUM(P20:P22)</f>
        <v/>
      </c>
    </row>
    <row r="24">
      <c r="A24" s="5" t="inlineStr">
        <is>
          <t>Non-Current Liabilities</t>
        </is>
      </c>
    </row>
    <row r="25">
      <c r="A25" s="6" t="inlineStr">
        <is>
          <t xml:space="preserve">  Long-term Debt</t>
        </is>
      </c>
      <c r="B25" s="7" t="n">
        <v>8400</v>
      </c>
      <c r="C25" s="7" t="n">
        <v>9400</v>
      </c>
      <c r="D25" s="7" t="n">
        <v>3800</v>
      </c>
      <c r="E25" s="7" t="n">
        <v>4900</v>
      </c>
      <c r="F25" s="7" t="n">
        <v>6000</v>
      </c>
      <c r="G25" s="7" t="n">
        <v>6100</v>
      </c>
      <c r="H25" s="7" t="n">
        <v>6300</v>
      </c>
      <c r="I25" s="7" t="n">
        <v>11600</v>
      </c>
      <c r="J25" s="7" t="n">
        <v>11700</v>
      </c>
      <c r="K25" s="7" t="n">
        <v>12800</v>
      </c>
      <c r="L25" s="7" t="n">
        <v>9000</v>
      </c>
      <c r="M25" s="7" t="n">
        <v>9000</v>
      </c>
      <c r="N25" s="7" t="n">
        <v>9000</v>
      </c>
      <c r="O25" s="7" t="n">
        <v>9000</v>
      </c>
      <c r="P25" s="7" t="n">
        <v>9000</v>
      </c>
    </row>
    <row r="26">
      <c r="A26" s="6" t="inlineStr">
        <is>
          <t xml:space="preserve">  Other Non-Current Liabilities</t>
        </is>
      </c>
      <c r="B26" s="7" t="n">
        <v>1000</v>
      </c>
      <c r="C26" s="7" t="n">
        <v>1200</v>
      </c>
      <c r="D26" s="7" t="n">
        <v>1400</v>
      </c>
      <c r="E26" s="7" t="n">
        <v>1300</v>
      </c>
      <c r="F26" s="7" t="n">
        <v>1200</v>
      </c>
      <c r="G26" s="7" t="n">
        <v>1400</v>
      </c>
      <c r="H26" s="7" t="n">
        <v>1700</v>
      </c>
      <c r="I26" s="7" t="n">
        <v>1300</v>
      </c>
      <c r="J26" s="7" t="n">
        <v>1700</v>
      </c>
      <c r="K26" s="7" t="n">
        <v>2100</v>
      </c>
      <c r="L26" s="7" t="n">
        <v>4000</v>
      </c>
      <c r="M26" s="7" t="n">
        <v>6000</v>
      </c>
      <c r="N26" s="7" t="n">
        <v>5500</v>
      </c>
      <c r="O26" s="7" t="n">
        <v>4000</v>
      </c>
      <c r="P26" s="7" t="n">
        <v>4000</v>
      </c>
    </row>
    <row r="27">
      <c r="A27" s="6" t="inlineStr">
        <is>
          <t>Total Non-Current Liabilities</t>
        </is>
      </c>
      <c r="B27" s="9">
        <f>SUM(B25:B26)</f>
        <v/>
      </c>
      <c r="C27" s="9">
        <f>SUM(C25:C26)</f>
        <v/>
      </c>
      <c r="D27" s="9">
        <f>SUM(D25:D26)</f>
        <v/>
      </c>
      <c r="E27" s="9">
        <f>SUM(E25:E26)</f>
        <v/>
      </c>
      <c r="F27" s="9">
        <f>SUM(F25:F26)</f>
        <v/>
      </c>
      <c r="G27" s="9">
        <f>SUM(G25:G26)</f>
        <v/>
      </c>
      <c r="H27" s="9">
        <f>SUM(H25:H26)</f>
        <v/>
      </c>
      <c r="I27" s="9">
        <f>SUM(I25:I26)</f>
        <v/>
      </c>
      <c r="J27" s="9">
        <f>SUM(J25:J26)</f>
        <v/>
      </c>
      <c r="K27" s="9">
        <f>SUM(K25:K26)</f>
        <v/>
      </c>
      <c r="L27" s="9">
        <f>SUM(L25:L26)</f>
        <v/>
      </c>
      <c r="M27" s="9">
        <f>SUM(M25:M26)</f>
        <v/>
      </c>
      <c r="N27" s="9">
        <f>SUM(N25:N26)</f>
        <v/>
      </c>
      <c r="O27" s="9">
        <f>SUM(O25:O26)</f>
        <v/>
      </c>
      <c r="P27" s="9">
        <f>SUM(P25:P26)</f>
        <v/>
      </c>
    </row>
    <row r="28">
      <c r="A28" s="6" t="inlineStr">
        <is>
          <t>TOTAL LIABILITIES</t>
        </is>
      </c>
      <c r="B28" s="15">
        <f>B23+B27</f>
        <v/>
      </c>
      <c r="C28" s="15">
        <f>C23+C27</f>
        <v/>
      </c>
      <c r="D28" s="15">
        <f>D23+D27</f>
        <v/>
      </c>
      <c r="E28" s="15">
        <f>E23+E27</f>
        <v/>
      </c>
      <c r="F28" s="15">
        <f>F23+F27</f>
        <v/>
      </c>
      <c r="G28" s="15">
        <f>G23+G27</f>
        <v/>
      </c>
      <c r="H28" s="15">
        <f>H23+H27</f>
        <v/>
      </c>
      <c r="I28" s="15">
        <f>I23+I27</f>
        <v/>
      </c>
      <c r="J28" s="15">
        <f>J23+J27</f>
        <v/>
      </c>
      <c r="K28" s="15">
        <f>K23+K27</f>
        <v/>
      </c>
      <c r="L28" s="15">
        <f>L23+L27</f>
        <v/>
      </c>
      <c r="M28" s="15">
        <f>M23+M27</f>
        <v/>
      </c>
      <c r="N28" s="15">
        <f>N23+N27</f>
        <v/>
      </c>
      <c r="O28" s="15">
        <f>O23+O27</f>
        <v/>
      </c>
      <c r="P28" s="15">
        <f>P23+P27</f>
        <v/>
      </c>
    </row>
    <row r="29">
      <c r="A29" s="5" t="inlineStr">
        <is>
          <t>Shareholders' Equity</t>
        </is>
      </c>
    </row>
    <row r="30">
      <c r="A30" s="6" t="inlineStr">
        <is>
          <t xml:space="preserve">  Paid-in Capital</t>
        </is>
      </c>
      <c r="B30" s="7" t="n">
        <v>5000</v>
      </c>
      <c r="C30" s="7" t="n">
        <v>5200</v>
      </c>
      <c r="D30" s="7" t="n">
        <v>5400</v>
      </c>
      <c r="E30" s="7" t="n">
        <v>5200</v>
      </c>
      <c r="F30" s="7" t="n">
        <v>5000</v>
      </c>
      <c r="G30" s="7" t="n">
        <v>5200</v>
      </c>
      <c r="H30" s="7" t="n">
        <v>5500</v>
      </c>
      <c r="I30" s="7" t="n">
        <v>5200</v>
      </c>
      <c r="J30" s="7" t="n">
        <v>5500</v>
      </c>
      <c r="K30" s="7" t="n">
        <v>5800</v>
      </c>
      <c r="L30" s="7" t="n">
        <v>6000</v>
      </c>
      <c r="M30" s="7" t="n">
        <v>6200</v>
      </c>
      <c r="N30" s="7" t="n">
        <v>6400</v>
      </c>
      <c r="O30" s="7" t="n">
        <v>6400</v>
      </c>
      <c r="P30" s="7" t="n">
        <v>6400</v>
      </c>
    </row>
    <row r="31">
      <c r="A31" s="6" t="inlineStr">
        <is>
          <t xml:space="preserve">  Retained Earnings</t>
        </is>
      </c>
      <c r="B31" s="7" t="n">
        <v>4500</v>
      </c>
      <c r="C31" s="7" t="n">
        <v>5700</v>
      </c>
      <c r="D31" s="7" t="n">
        <v>15000</v>
      </c>
      <c r="E31" s="7" t="n">
        <v>19200</v>
      </c>
      <c r="F31" s="7" t="n">
        <v>20600</v>
      </c>
      <c r="G31" s="7" t="n">
        <v>25300</v>
      </c>
      <c r="H31" s="7" t="n">
        <v>32800</v>
      </c>
      <c r="I31" s="7" t="n">
        <v>25300</v>
      </c>
      <c r="J31" s="7" t="n">
        <v>25600</v>
      </c>
      <c r="K31" s="7" t="n">
        <v>31300</v>
      </c>
      <c r="L31" s="7" t="n">
        <v>68500</v>
      </c>
      <c r="M31" s="7" t="n">
        <v>117700</v>
      </c>
      <c r="N31" s="7" t="n">
        <v>161600</v>
      </c>
      <c r="O31" s="7" t="n">
        <v>171600</v>
      </c>
      <c r="P31" s="7" t="n">
        <v>181600</v>
      </c>
    </row>
    <row r="32">
      <c r="A32" s="6" t="inlineStr">
        <is>
          <t>Total Shareholders' Equity</t>
        </is>
      </c>
    </row>
    <row r="33">
      <c r="A33" s="6" t="inlineStr">
        <is>
          <t>TOTAL LIABILITIES &amp; EQUITY</t>
        </is>
      </c>
      <c r="B33" s="9">
        <f>SUM(B31:B32)</f>
        <v/>
      </c>
      <c r="C33" s="9">
        <f>SUM(C31:C32)</f>
        <v/>
      </c>
      <c r="D33" s="9">
        <f>SUM(D31:D32)</f>
        <v/>
      </c>
      <c r="E33" s="9">
        <f>SUM(E31:E32)</f>
        <v/>
      </c>
      <c r="F33" s="9">
        <f>SUM(F31:F32)</f>
        <v/>
      </c>
      <c r="G33" s="9">
        <f>SUM(G31:G32)</f>
        <v/>
      </c>
      <c r="H33" s="9">
        <f>SUM(H31:H32)</f>
        <v/>
      </c>
      <c r="I33" s="9">
        <f>SUM(I31:I32)</f>
        <v/>
      </c>
      <c r="J33" s="9">
        <f>SUM(J31:J32)</f>
        <v/>
      </c>
      <c r="K33" s="9">
        <f>SUM(K31:K32)</f>
        <v/>
      </c>
      <c r="L33" s="9">
        <f>SUM(L31:L32)</f>
        <v/>
      </c>
      <c r="M33" s="9">
        <f>SUM(M31:M32)</f>
        <v/>
      </c>
      <c r="N33" s="9">
        <f>SUM(N31:N32)</f>
        <v/>
      </c>
      <c r="O33" s="9">
        <f>SUM(O31:O32)</f>
        <v/>
      </c>
      <c r="P33" s="9">
        <f>SUM(P31:P32)</f>
        <v/>
      </c>
    </row>
    <row r="34">
      <c r="A34" s="6" t="inlineStr">
        <is>
          <t>Balance Check (OK / Error)</t>
        </is>
      </c>
      <c r="B34" s="11">
        <f>B28+B33</f>
        <v/>
      </c>
      <c r="C34" s="11">
        <f>C28+C33</f>
        <v/>
      </c>
      <c r="D34" s="11">
        <f>D28+D33</f>
        <v/>
      </c>
      <c r="E34" s="11">
        <f>E28+E33</f>
        <v/>
      </c>
      <c r="F34" s="11">
        <f>F28+F33</f>
        <v/>
      </c>
      <c r="G34" s="11">
        <f>G28+G33</f>
        <v/>
      </c>
      <c r="H34" s="11">
        <f>H28+H33</f>
        <v/>
      </c>
      <c r="I34" s="11">
        <f>I28+I33</f>
        <v/>
      </c>
      <c r="J34" s="11">
        <f>J28+J33</f>
        <v/>
      </c>
      <c r="K34" s="11">
        <f>K28+K33</f>
        <v/>
      </c>
      <c r="L34" s="11">
        <f>L28+L33</f>
        <v/>
      </c>
      <c r="M34" s="11">
        <f>M28+M33</f>
        <v/>
      </c>
      <c r="N34" s="11">
        <f>N28+N33</f>
        <v/>
      </c>
      <c r="O34" s="11">
        <f>O28+O33</f>
        <v/>
      </c>
      <c r="P34" s="11">
        <f>P28+P33</f>
        <v/>
      </c>
    </row>
    <row r="35">
      <c r="B35" s="16">
        <f>IF(ABS(B17-B34)&lt;1, "OK", "Error")</f>
        <v/>
      </c>
      <c r="C35" s="16">
        <f>IF(ABS(C17-C34)&lt;1, "OK", "Error")</f>
        <v/>
      </c>
      <c r="D35" s="16">
        <f>IF(ABS(D17-D34)&lt;1, "OK", "Error")</f>
        <v/>
      </c>
      <c r="E35" s="16">
        <f>IF(ABS(E17-E34)&lt;1, "OK", "Error")</f>
        <v/>
      </c>
      <c r="F35" s="16">
        <f>IF(ABS(F17-F34)&lt;1, "OK", "Error")</f>
        <v/>
      </c>
      <c r="G35" s="16">
        <f>IF(ABS(G17-G34)&lt;1, "OK", "Error")</f>
        <v/>
      </c>
      <c r="H35" s="16">
        <f>IF(ABS(H17-H34)&lt;1, "OK", "Error")</f>
        <v/>
      </c>
      <c r="I35" s="16">
        <f>IF(ABS(I17-I34)&lt;1, "OK", "Error")</f>
        <v/>
      </c>
      <c r="J35" s="16">
        <f>IF(ABS(J17-J34)&lt;1, "OK", "Error")</f>
        <v/>
      </c>
      <c r="K35" s="16">
        <f>IF(ABS(K17-K34)&lt;1, "OK", "Error")</f>
        <v/>
      </c>
      <c r="L35" s="16">
        <f>IF(ABS(L17-L34)&lt;1, "OK", "Error")</f>
        <v/>
      </c>
      <c r="M35" s="16">
        <f>IF(ABS(M17-M34)&lt;1, "OK", "Error")</f>
        <v/>
      </c>
      <c r="N35" s="16">
        <f>IF(ABS(N17-N34)&lt;1, "OK", "Error")</f>
        <v/>
      </c>
      <c r="O35" s="16">
        <f>IF(ABS(O17-O34)&lt;1, "OK", "Error")</f>
        <v/>
      </c>
      <c r="P35" s="16">
        <f>IF(ABS(P17-P34)&lt;1, "OK", "Error")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Micron Technology, Inc. (MU) — Unlevered Free Cash Flow (UFCF) Inputs</t>
        </is>
      </c>
    </row>
    <row r="2">
      <c r="A2" s="2" t="inlineStr">
        <is>
          <t>(USD Millions)</t>
        </is>
      </c>
    </row>
    <row r="3"/>
    <row r="4">
      <c r="A4" s="3" t="inlineStr">
        <is>
          <t>Line Item</t>
        </is>
      </c>
      <c r="B4" s="4" t="inlineStr">
        <is>
          <t>FY 2026E</t>
        </is>
      </c>
      <c r="C4" s="4" t="inlineStr">
        <is>
          <t>FY 2027E</t>
        </is>
      </c>
      <c r="D4" s="4" t="inlineStr">
        <is>
          <t>FY 2028E</t>
        </is>
      </c>
      <c r="E4" s="4" t="inlineStr">
        <is>
          <t>FY 2029E</t>
        </is>
      </c>
      <c r="F4" s="4" t="inlineStr">
        <is>
          <t>FY 2030E</t>
        </is>
      </c>
    </row>
    <row r="5">
      <c r="A5" s="6" t="inlineStr">
        <is>
          <t>EBIT (Operating Income)</t>
        </is>
      </c>
      <c r="B5" s="13">
        <f>'Income Statement'!L15</f>
        <v/>
      </c>
      <c r="C5" s="13">
        <f>'Income Statement'!M15</f>
        <v/>
      </c>
      <c r="D5" s="13">
        <f>'Income Statement'!N15</f>
        <v/>
      </c>
      <c r="E5" s="13">
        <f>'Income Statement'!O15</f>
        <v/>
      </c>
      <c r="F5" s="13">
        <f>'Income Statement'!P15</f>
        <v/>
      </c>
    </row>
    <row r="6">
      <c r="A6" s="6" t="inlineStr">
        <is>
          <t>Effective Tax Rate</t>
        </is>
      </c>
      <c r="B6" s="17">
        <f>'Income Statement'!L21</f>
        <v/>
      </c>
      <c r="C6" s="17">
        <f>'Income Statement'!M21</f>
        <v/>
      </c>
      <c r="D6" s="17">
        <f>'Income Statement'!N21</f>
        <v/>
      </c>
      <c r="E6" s="17">
        <f>'Income Statement'!O21</f>
        <v/>
      </c>
      <c r="F6" s="17">
        <f>'Income Statement'!P21</f>
        <v/>
      </c>
    </row>
    <row r="7">
      <c r="A7" s="6" t="inlineStr">
        <is>
          <t>NOPAT</t>
        </is>
      </c>
      <c r="B7" s="10">
        <f>B5*(1-B6)</f>
        <v/>
      </c>
      <c r="C7" s="10">
        <f>C5*(1-C6)</f>
        <v/>
      </c>
      <c r="D7" s="10">
        <f>D5*(1-D6)</f>
        <v/>
      </c>
      <c r="E7" s="10">
        <f>E5*(1-E6)</f>
        <v/>
      </c>
      <c r="F7" s="10">
        <f>F5*(1-F6)</f>
        <v/>
      </c>
    </row>
    <row r="8">
      <c r="A8" s="6" t="inlineStr">
        <is>
          <t>Add: Depreciation &amp; Amortization</t>
        </is>
      </c>
      <c r="B8" s="13">
        <f>'Cash Flow'!L7</f>
        <v/>
      </c>
      <c r="C8" s="13">
        <f>'Cash Flow'!M7</f>
        <v/>
      </c>
      <c r="D8" s="13">
        <f>'Cash Flow'!N7</f>
        <v/>
      </c>
      <c r="E8" s="13">
        <f>'Cash Flow'!O7</f>
        <v/>
      </c>
      <c r="F8" s="13">
        <f>'Cash Flow'!P7</f>
        <v/>
      </c>
    </row>
    <row r="9">
      <c r="A9" s="6" t="inlineStr">
        <is>
          <t>Less: Capital Expenditures</t>
        </is>
      </c>
      <c r="B9" s="13">
        <f>'Cash Flow'!L12</f>
        <v/>
      </c>
      <c r="C9" s="13">
        <f>'Cash Flow'!M12</f>
        <v/>
      </c>
      <c r="D9" s="13">
        <f>'Cash Flow'!N12</f>
        <v/>
      </c>
      <c r="E9" s="13">
        <f>'Cash Flow'!O12</f>
        <v/>
      </c>
      <c r="F9" s="13">
        <f>'Cash Flow'!P12</f>
        <v/>
      </c>
    </row>
    <row r="10">
      <c r="A10" s="6" t="inlineStr">
        <is>
          <t>Less: Change in Working Capital</t>
        </is>
      </c>
      <c r="B10" s="13">
        <f>'Cash Flow'!L9</f>
        <v/>
      </c>
      <c r="C10" s="13">
        <f>'Cash Flow'!M9</f>
        <v/>
      </c>
      <c r="D10" s="13">
        <f>'Cash Flow'!N9</f>
        <v/>
      </c>
      <c r="E10" s="13">
        <f>'Cash Flow'!O9</f>
        <v/>
      </c>
      <c r="F10" s="13">
        <f>'Cash Flow'!P9</f>
        <v/>
      </c>
    </row>
    <row r="11">
      <c r="A11" s="6" t="inlineStr">
        <is>
          <t>Unlevered Free Cash Flow (UFCF)</t>
        </is>
      </c>
      <c r="B11" s="11">
        <f>B7+B8+B9+B10</f>
        <v/>
      </c>
      <c r="C11" s="11">
        <f>C7+C8+C9+C10</f>
        <v/>
      </c>
      <c r="D11" s="11">
        <f>D7+D8+D9+D10</f>
        <v/>
      </c>
      <c r="E11" s="11">
        <f>E7+E8+E9+E10</f>
        <v/>
      </c>
      <c r="F11" s="11">
        <f>F7+F8+F9+F10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Micron Technology, Inc. (MU) — Scenarios Analysis</t>
        </is>
      </c>
    </row>
    <row r="2">
      <c r="A2" s="2" t="inlineStr">
        <is>
          <t>(USD Millions, except per-share data)</t>
        </is>
      </c>
    </row>
    <row r="3"/>
    <row r="4" ht="20" customHeight="1">
      <c r="A4" s="5" t="inlineStr">
        <is>
          <t>Scenario Assumptions</t>
        </is>
      </c>
    </row>
    <row r="5">
      <c r="A5" t="inlineStr">
        <is>
          <t>Revenue CAGR (2025-2029E)</t>
        </is>
      </c>
      <c r="B5" s="18" t="inlineStr">
        <is>
          <t>Bull</t>
        </is>
      </c>
      <c r="C5" s="18" t="inlineStr">
        <is>
          <t>Base</t>
        </is>
      </c>
      <c r="D5" s="18" t="inlineStr">
        <is>
          <t>Bear</t>
        </is>
      </c>
    </row>
    <row r="6">
      <c r="A6" t="inlineStr">
        <is>
          <t>Revenue Growth Rate</t>
        </is>
      </c>
      <c r="B6" s="19" t="n">
        <v>0.35</v>
      </c>
      <c r="C6" s="19" t="n">
        <v>0.28</v>
      </c>
      <c r="D6" s="19" t="n">
        <v>0.15</v>
      </c>
    </row>
    <row r="7">
      <c r="A7" t="inlineStr">
        <is>
          <t>EBITDA Margin</t>
        </is>
      </c>
      <c r="B7" s="19" t="n">
        <v>0.88</v>
      </c>
      <c r="C7" s="19" t="n">
        <v>0.8100000000000001</v>
      </c>
      <c r="D7" s="19" t="n">
        <v>0.65</v>
      </c>
    </row>
    <row r="8">
      <c r="A8" t="inlineStr">
        <is>
          <t>CapEx as % of Revenue</t>
        </is>
      </c>
      <c r="B8" s="19" t="n">
        <v>0.15</v>
      </c>
      <c r="C8" s="19" t="n">
        <v>0.18</v>
      </c>
      <c r="D8" s="19" t="n">
        <v>0.22</v>
      </c>
    </row>
    <row r="9"/>
    <row r="10"/>
    <row r="11">
      <c r="A11" s="5" t="inlineStr">
        <is>
          <t>Implied Outputs (FY 2027E)</t>
        </is>
      </c>
    </row>
    <row r="12">
      <c r="A12" t="inlineStr">
        <is>
          <t>Metric</t>
        </is>
      </c>
      <c r="B12" s="18" t="inlineStr">
        <is>
          <t>Bull</t>
        </is>
      </c>
      <c r="C12" s="18" t="inlineStr">
        <is>
          <t>Base</t>
        </is>
      </c>
      <c r="D12" s="18" t="inlineStr">
        <is>
          <t>Bear</t>
        </is>
      </c>
    </row>
    <row r="13">
      <c r="A13" t="inlineStr">
        <is>
          <t>Revenue ($M)</t>
        </is>
      </c>
      <c r="B13" s="20" t="n">
        <v>195000</v>
      </c>
      <c r="C13" s="20" t="n">
        <v>172760</v>
      </c>
      <c r="D13" s="20" t="n">
        <v>120000</v>
      </c>
    </row>
    <row r="14">
      <c r="A14" t="inlineStr">
        <is>
          <t>EBITDA ($M)</t>
        </is>
      </c>
      <c r="B14" s="20" t="n">
        <v>171600</v>
      </c>
      <c r="C14" s="20" t="n">
        <v>149340</v>
      </c>
      <c r="D14" s="20" t="n">
        <v>78000</v>
      </c>
    </row>
    <row r="15">
      <c r="A15" t="inlineStr">
        <is>
          <t>EPS ($)</t>
        </is>
      </c>
      <c r="B15" s="21" t="n">
        <v>125.5</v>
      </c>
      <c r="C15" s="21" t="n">
        <v>102.74</v>
      </c>
      <c r="D15" s="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2026-05-22T23:19:51Z</dcterms:created>
  <dcterms:modified xsi:type="dcterms:W3CDTF">2026-05-22T23:19:51Z</dcterms:modified>
</cp:coreProperties>
</file>