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Thesis Tracker" sheetId="4" state="visible" r:id="rId4"/>
    <sheet xmlns:r="http://schemas.openxmlformats.org/officeDocument/2006/relationships" name="Valuation Framework" sheetId="5" state="visible" r:id="rId5"/>
    <sheet xmlns:r="http://schemas.openxmlformats.org/officeDocument/2006/relationships" name="DCF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$#,##0.00"/>
    <numFmt numFmtId="167" formatCode="0.0x"/>
    <numFmt numFmtId="168" formatCode="$#,##0.0"/>
    <numFmt numFmtId="169" formatCode="$#,##0.2"/>
  </numFmts>
  <fonts count="1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05050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505050"/>
      <sz val="10"/>
    </font>
    <font>
      <name val="Calibri"/>
      <color rgb="000000FF"/>
      <sz val="10"/>
    </font>
    <font>
      <name val="Calibri"/>
      <i val="1"/>
      <color rgb="00606060"/>
      <sz val="9"/>
    </font>
    <font>
      <name val="Calibri"/>
      <b val="1"/>
      <color rgb="00CC0000"/>
      <sz val="10"/>
    </font>
    <font>
      <name val="Calibri"/>
      <sz val="10"/>
    </font>
    <font>
      <name val="Calibri"/>
      <color rgb="00006100"/>
      <sz val="10"/>
    </font>
    <font>
      <name val="Calibri"/>
      <color rgb="009C0006"/>
      <sz val="10"/>
    </font>
    <font>
      <name val="Calibri"/>
      <b val="1"/>
      <color rgb="009C0006"/>
      <sz val="10"/>
    </font>
    <font>
      <name val="Calibri"/>
      <sz val="9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8B0000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1F3864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4" borderId="0" pivotButton="0" quotePrefix="0" xfId="0"/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0" fontId="6" fillId="5" borderId="0" pivotButton="0" quotePrefix="0" xfId="0"/>
    <xf numFmtId="164" fontId="5" fillId="5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167" fontId="5" fillId="7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164" fontId="9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6" fillId="7" borderId="0" pivotButton="0" quotePrefix="0" xfId="0"/>
    <xf numFmtId="165" fontId="0" fillId="7" borderId="0" pivotButton="0" quotePrefix="0" xfId="0"/>
    <xf numFmtId="164" fontId="6" fillId="4" borderId="0" pivotButton="0" quotePrefix="0" xfId="0"/>
    <xf numFmtId="164" fontId="6" fillId="6" borderId="0" pivotButton="0" quotePrefix="0" xfId="0"/>
    <xf numFmtId="165" fontId="0" fillId="0" borderId="0" pivotButton="0" quotePrefix="0" xfId="0"/>
    <xf numFmtId="165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164" fontId="6" fillId="7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right" vertical="center"/>
    </xf>
    <xf numFmtId="0" fontId="3" fillId="2" borderId="0" pivotButton="0" quotePrefix="0" xfId="0"/>
    <xf numFmtId="165" fontId="3" fillId="2" borderId="0" applyAlignment="1" pivotButton="0" quotePrefix="0" xfId="0">
      <alignment horizontal="center" vertical="center"/>
    </xf>
    <xf numFmtId="165" fontId="10" fillId="7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top" wrapText="1" inden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 indent="1"/>
    </xf>
    <xf numFmtId="0" fontId="6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 indent="1"/>
    </xf>
    <xf numFmtId="0" fontId="15" fillId="0" borderId="0" applyAlignment="1" pivotButton="0" quotePrefix="0" xfId="0">
      <alignment vertical="top" wrapText="1" indent="1"/>
    </xf>
    <xf numFmtId="0" fontId="9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horizontal="center" vertical="center"/>
    </xf>
    <xf numFmtId="49" fontId="12" fillId="5" borderId="0" applyAlignment="1" pivotButton="0" quotePrefix="0" xfId="0">
      <alignment horizontal="center" vertical="center"/>
    </xf>
    <xf numFmtId="169" fontId="12" fillId="5" borderId="0" applyAlignment="1" pivotButton="0" quotePrefix="0" xfId="0">
      <alignment horizontal="right" vertical="center"/>
    </xf>
    <xf numFmtId="0" fontId="16" fillId="6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top" wrapText="1" indent="1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indent="1"/>
    </xf>
    <xf numFmtId="0" fontId="0" fillId="5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INTEL CORPORATION (INTC) — INITIATING COVERAGE</t>
        </is>
      </c>
    </row>
    <row r="3" ht="18" customHeight="1">
      <c r="B3" s="2" t="inlineStr">
        <is>
          <t>Equity Research | Technology — Semiconductors | Report Date: May 13, 2026 | Rating: SELL | Price Target: $87</t>
        </is>
      </c>
    </row>
    <row r="5">
      <c r="B5" s="3" t="inlineStr">
        <is>
          <t>KEY STATISTICS</t>
        </is>
      </c>
    </row>
    <row r="6">
      <c r="B6" s="4" t="inlineStr">
        <is>
          <t>Current Price</t>
        </is>
      </c>
      <c r="C6" s="5" t="inlineStr">
        <is>
          <t>$120.29</t>
        </is>
      </c>
      <c r="F6" s="4" t="inlineStr">
        <is>
          <t>52-Wk Low</t>
        </is>
      </c>
      <c r="G6" s="5" t="inlineStr">
        <is>
          <t>$19.55</t>
        </is>
      </c>
      <c r="J6" s="4" t="inlineStr">
        <is>
          <t>52-Wk High</t>
        </is>
      </c>
      <c r="K6" s="5" t="inlineStr">
        <is>
          <t>~$125</t>
        </is>
      </c>
    </row>
    <row r="7">
      <c r="B7" s="4" t="inlineStr">
        <is>
          <t>Price Target</t>
        </is>
      </c>
      <c r="C7" s="5" t="inlineStr">
        <is>
          <t>$87</t>
        </is>
      </c>
      <c r="F7" s="4" t="inlineStr">
        <is>
          <t>Upside/Downside</t>
        </is>
      </c>
      <c r="G7" s="5" t="inlineStr">
        <is>
          <t>-28.0%</t>
        </is>
      </c>
      <c r="J7" s="4" t="inlineStr">
        <is>
          <t>Rating</t>
        </is>
      </c>
      <c r="K7" s="5" t="inlineStr">
        <is>
          <t>SELL</t>
        </is>
      </c>
    </row>
    <row r="8">
      <c r="B8" s="4" t="inlineStr">
        <is>
          <t>Market Cap</t>
        </is>
      </c>
      <c r="C8" s="5" t="inlineStr">
        <is>
          <t>$604.6B</t>
        </is>
      </c>
      <c r="F8" s="4" t="inlineStr">
        <is>
          <t>Net Debt</t>
        </is>
      </c>
      <c r="G8" s="5" t="inlineStr">
        <is>
          <t>~$23B</t>
        </is>
      </c>
      <c r="J8" s="4" t="inlineStr">
        <is>
          <t>EV</t>
        </is>
      </c>
      <c r="K8" s="5" t="inlineStr">
        <is>
          <t>~$628B</t>
        </is>
      </c>
    </row>
    <row r="9">
      <c r="B9" s="4" t="inlineStr">
        <is>
          <t>Shares Out</t>
        </is>
      </c>
      <c r="C9" s="5" t="inlineStr">
        <is>
          <t>5.03B</t>
        </is>
      </c>
      <c r="F9" s="4" t="inlineStr">
        <is>
          <t>Sector</t>
        </is>
      </c>
      <c r="G9" s="5" t="inlineStr">
        <is>
          <t>Technology</t>
        </is>
      </c>
      <c r="J9" s="4" t="inlineStr">
        <is>
          <t>CEO</t>
        </is>
      </c>
      <c r="K9" s="5" t="inlineStr">
        <is>
          <t>Lip-Bu Tan</t>
        </is>
      </c>
    </row>
    <row r="12">
      <c r="B12" s="3" t="inlineStr">
        <is>
          <t>FINANCIAL SNAPSHOT ($B unless noted)</t>
        </is>
      </c>
    </row>
    <row r="13">
      <c r="B13" s="6" t="inlineStr">
        <is>
          <t>Metric</t>
        </is>
      </c>
      <c r="C13" s="6" t="inlineStr">
        <is>
          <t>FY2021A</t>
        </is>
      </c>
      <c r="D13" s="6" t="inlineStr">
        <is>
          <t>FY2022A</t>
        </is>
      </c>
      <c r="E13" s="6" t="inlineStr">
        <is>
          <t>FY2023A</t>
        </is>
      </c>
      <c r="F13" s="6" t="inlineStr">
        <is>
          <t>FY2024A</t>
        </is>
      </c>
      <c r="G13" s="6" t="inlineStr">
        <is>
          <t>FY2025A</t>
        </is>
      </c>
      <c r="H13" s="6" t="inlineStr">
        <is>
          <t>FY2026E</t>
        </is>
      </c>
      <c r="I13" s="6" t="inlineStr">
        <is>
          <t>FY2027E</t>
        </is>
      </c>
      <c r="J13" s="6" t="inlineStr">
        <is>
          <t>FY2028E</t>
        </is>
      </c>
    </row>
    <row r="14">
      <c r="B14" s="7" t="inlineStr">
        <is>
          <t>Revenue</t>
        </is>
      </c>
      <c r="C14" s="8" t="n">
        <v>74.7</v>
      </c>
      <c r="D14" s="8" t="n">
        <v>63.1</v>
      </c>
      <c r="E14" s="8" t="n">
        <v>54.2</v>
      </c>
      <c r="F14" s="8" t="n">
        <v>53.1</v>
      </c>
      <c r="G14" s="8" t="n">
        <v>52.9</v>
      </c>
      <c r="H14" s="8" t="n">
        <v>58.6</v>
      </c>
      <c r="I14" s="8" t="n">
        <v>65</v>
      </c>
      <c r="J14" s="8" t="n">
        <v>71.40000000000001</v>
      </c>
    </row>
    <row r="15">
      <c r="B15" s="5" t="inlineStr">
        <is>
          <t>Revenue Growth</t>
        </is>
      </c>
      <c r="C15" s="9" t="inlineStr">
        <is>
          <t>—</t>
        </is>
      </c>
      <c r="D15" s="10" t="n">
        <v>-0.155</v>
      </c>
      <c r="E15" s="10" t="n">
        <v>-0.14</v>
      </c>
      <c r="F15" s="10" t="n">
        <v>-0.02</v>
      </c>
      <c r="G15" s="10" t="n">
        <v>-0.005</v>
      </c>
      <c r="H15" s="10" t="n">
        <v>0.109</v>
      </c>
      <c r="I15" s="10" t="n">
        <v>0.109</v>
      </c>
      <c r="J15" s="10" t="n">
        <v>0.098</v>
      </c>
    </row>
    <row r="16">
      <c r="B16" s="5" t="inlineStr">
        <is>
          <t>Adj Gross Margin</t>
        </is>
      </c>
      <c r="C16" s="10" t="n">
        <v>0.581</v>
      </c>
      <c r="D16" s="10" t="n">
        <v>0.473</v>
      </c>
      <c r="E16" s="10" t="n">
        <v>0.436</v>
      </c>
      <c r="F16" s="10" t="n">
        <v>0.36</v>
      </c>
      <c r="G16" s="10" t="n">
        <v>0.367</v>
      </c>
      <c r="H16" s="10" t="n">
        <v>0.401</v>
      </c>
      <c r="I16" s="10" t="n">
        <v>0.426</v>
      </c>
      <c r="J16" s="10" t="n">
        <v>0.446</v>
      </c>
    </row>
    <row r="17">
      <c r="B17" s="7" t="inlineStr">
        <is>
          <t>Adj EBITDA</t>
        </is>
      </c>
      <c r="C17" s="8" t="n">
        <v>31.2</v>
      </c>
      <c r="D17" s="8" t="n">
        <v>15.4</v>
      </c>
      <c r="E17" s="8" t="n">
        <v>9.699999999999999</v>
      </c>
      <c r="F17" s="8" t="n">
        <v>-0.3</v>
      </c>
      <c r="G17" s="8" t="n">
        <v>9.5</v>
      </c>
      <c r="H17" s="8" t="n">
        <v>19.6</v>
      </c>
      <c r="I17" s="8" t="n">
        <v>24.7</v>
      </c>
      <c r="J17" s="8" t="n">
        <v>28.1</v>
      </c>
    </row>
    <row r="18">
      <c r="B18" s="5" t="inlineStr">
        <is>
          <t>Adj EBITDA Margin</t>
        </is>
      </c>
      <c r="C18" s="10" t="n">
        <v>0.395</v>
      </c>
      <c r="D18" s="10" t="n">
        <v>0.244</v>
      </c>
      <c r="E18" s="10" t="n">
        <v>0.179</v>
      </c>
      <c r="F18" s="10" t="n">
        <v>-0.006</v>
      </c>
      <c r="G18" s="10" t="n">
        <v>0.18</v>
      </c>
      <c r="H18" s="10" t="n">
        <v>0.334</v>
      </c>
      <c r="I18" s="10" t="n">
        <v>0.379</v>
      </c>
      <c r="J18" s="10" t="n">
        <v>0.393</v>
      </c>
    </row>
    <row r="19">
      <c r="B19" s="7" t="inlineStr">
        <is>
          <t>Adj EPS</t>
        </is>
      </c>
      <c r="C19" s="11" t="n">
        <v>5.05</v>
      </c>
      <c r="D19" s="11" t="n">
        <v>1.67</v>
      </c>
      <c r="E19" s="11" t="n">
        <v>1.05</v>
      </c>
      <c r="F19" s="11" t="n">
        <v>-0.13</v>
      </c>
      <c r="G19" s="11" t="n">
        <v>0.42</v>
      </c>
      <c r="H19" s="11" t="n">
        <v>3.81</v>
      </c>
      <c r="I19" s="11" t="n">
        <v>4.43</v>
      </c>
      <c r="J19" s="11" t="n">
        <v>5.29</v>
      </c>
    </row>
    <row r="20">
      <c r="B20" s="5" t="inlineStr">
        <is>
          <t>FCF</t>
        </is>
      </c>
      <c r="C20" s="8" t="n">
        <v>10.9</v>
      </c>
      <c r="D20" s="8" t="n">
        <v>-4.1</v>
      </c>
      <c r="E20" s="8" t="n">
        <v>-11.9</v>
      </c>
      <c r="F20" s="8" t="n">
        <v>-2.2</v>
      </c>
      <c r="G20" s="8" t="n">
        <v>-1.6</v>
      </c>
      <c r="H20" s="8" t="n">
        <v>-0.6</v>
      </c>
      <c r="I20" s="8" t="n">
        <v>2.4</v>
      </c>
      <c r="J20" s="8" t="n">
        <v>3.7</v>
      </c>
    </row>
    <row r="21">
      <c r="B21" s="5" t="inlineStr">
        <is>
          <t>CapEx</t>
        </is>
      </c>
      <c r="C21" s="8" t="n">
        <v>20.3</v>
      </c>
      <c r="D21" s="8" t="n">
        <v>24.8</v>
      </c>
      <c r="E21" s="8" t="n">
        <v>25.8</v>
      </c>
      <c r="F21" s="8" t="n">
        <v>11</v>
      </c>
      <c r="G21" s="8" t="n">
        <v>14.6</v>
      </c>
      <c r="H21" s="8" t="n">
        <v>14.1</v>
      </c>
      <c r="I21" s="8" t="n">
        <v>14.3</v>
      </c>
      <c r="J21" s="8" t="n">
        <v>14.3</v>
      </c>
    </row>
    <row r="23">
      <c r="B23" s="3" t="inlineStr">
        <is>
          <t>SCENARIO SUMMARY</t>
        </is>
      </c>
    </row>
    <row r="24">
      <c r="B24" s="6" t="inlineStr">
        <is>
          <t>Scenario</t>
        </is>
      </c>
      <c r="C24" s="6" t="inlineStr">
        <is>
          <t>FY2026 Rev</t>
        </is>
      </c>
      <c r="D24" s="6" t="inlineStr">
        <is>
          <t>FY2028 Rev</t>
        </is>
      </c>
      <c r="E24" s="6" t="inlineStr">
        <is>
          <t>FY2026 EBITDA%</t>
        </is>
      </c>
      <c r="F24" s="6" t="inlineStr">
        <is>
          <t>FY2028 EBITDA%</t>
        </is>
      </c>
      <c r="G24" s="6" t="inlineStr">
        <is>
          <t>DCF Price</t>
        </is>
      </c>
      <c r="H24" s="6" t="inlineStr">
        <is>
          <t>Upside / Downside</t>
        </is>
      </c>
    </row>
    <row r="25">
      <c r="B25" s="12" t="inlineStr">
        <is>
          <t>Bull</t>
        </is>
      </c>
      <c r="C25" s="13" t="n">
        <v>60.5</v>
      </c>
      <c r="D25" s="13" t="n">
        <v>78.5</v>
      </c>
      <c r="E25" s="14" t="n">
        <v>0.355</v>
      </c>
      <c r="F25" s="14" t="n">
        <v>0.445</v>
      </c>
      <c r="G25" s="15" t="n">
        <v>41.43</v>
      </c>
      <c r="H25" s="14" t="n">
        <v>-0.655</v>
      </c>
    </row>
    <row r="26">
      <c r="B26" s="16" t="inlineStr">
        <is>
          <t>Base</t>
        </is>
      </c>
      <c r="C26" s="17" t="n">
        <v>58.6</v>
      </c>
      <c r="D26" s="17" t="n">
        <v>71.40000000000001</v>
      </c>
      <c r="E26" s="18" t="n">
        <v>0.334</v>
      </c>
      <c r="F26" s="18" t="n">
        <v>0.393</v>
      </c>
      <c r="G26" s="19" t="n">
        <v>25</v>
      </c>
      <c r="H26" s="18" t="n">
        <v>-0.792</v>
      </c>
    </row>
    <row r="27">
      <c r="B27" s="20" t="inlineStr">
        <is>
          <t>Bear</t>
        </is>
      </c>
      <c r="C27" s="21" t="n">
        <v>55</v>
      </c>
      <c r="D27" s="21" t="n">
        <v>63</v>
      </c>
      <c r="E27" s="22" t="n">
        <v>0.31</v>
      </c>
      <c r="F27" s="22" t="n">
        <v>0.35</v>
      </c>
      <c r="G27" s="23" t="n">
        <v>10.47</v>
      </c>
      <c r="H27" s="22" t="n">
        <v>-0.913</v>
      </c>
    </row>
    <row r="29">
      <c r="B29" s="3" t="inlineStr">
        <is>
          <t>PEER COMPARABLE COMPANIES</t>
        </is>
      </c>
    </row>
    <row r="30">
      <c r="B30" s="6" t="inlineStr">
        <is>
          <t>Company</t>
        </is>
      </c>
      <c r="C30" s="6" t="inlineStr">
        <is>
          <t>Ticker</t>
        </is>
      </c>
      <c r="D30" s="6" t="inlineStr">
        <is>
          <t>Mkt Cap ($B)</t>
        </is>
      </c>
      <c r="E30" s="6" t="inlineStr">
        <is>
          <t>NTM Rev ($B)</t>
        </is>
      </c>
      <c r="F30" s="6" t="inlineStr">
        <is>
          <t>NTM EV/EBITDA</t>
        </is>
      </c>
      <c r="G30" s="6" t="inlineStr">
        <is>
          <t>NTM P/E</t>
        </is>
      </c>
      <c r="H30" s="6" t="inlineStr">
        <is>
          <t>NTM P/S</t>
        </is>
      </c>
    </row>
    <row r="31">
      <c r="B31" s="5" t="inlineStr">
        <is>
          <t>Advanced Micro Devices</t>
        </is>
      </c>
      <c r="C31" s="24" t="inlineStr">
        <is>
          <t>AMD</t>
        </is>
      </c>
      <c r="D31" s="8" t="n">
        <v>726.4</v>
      </c>
      <c r="E31" s="8" t="n">
        <v>49.3</v>
      </c>
      <c r="F31" s="25" t="n">
        <v>57.2</v>
      </c>
      <c r="G31" s="25" t="n">
        <v>148.5</v>
      </c>
      <c r="H31" s="25" t="n">
        <v>14.7</v>
      </c>
    </row>
    <row r="32">
      <c r="B32" s="5" t="inlineStr">
        <is>
          <t>NVIDIA</t>
        </is>
      </c>
      <c r="C32" s="24" t="inlineStr">
        <is>
          <t>NVDA</t>
        </is>
      </c>
      <c r="D32" s="8" t="n">
        <v>5488.8</v>
      </c>
      <c r="E32" s="8" t="n">
        <v>214</v>
      </c>
      <c r="F32" s="25" t="n">
        <v>39.8</v>
      </c>
      <c r="G32" s="25" t="n">
        <v>46.2</v>
      </c>
      <c r="H32" s="25" t="n">
        <v>25.7</v>
      </c>
    </row>
    <row r="33">
      <c r="B33" s="5" t="inlineStr">
        <is>
          <t>Qualcomm</t>
        </is>
      </c>
      <c r="C33" s="24" t="inlineStr">
        <is>
          <t>QCOM</t>
        </is>
      </c>
      <c r="D33" s="8" t="n">
        <v>224.7</v>
      </c>
      <c r="E33" s="8" t="n">
        <v>42.5</v>
      </c>
      <c r="F33" s="25" t="n">
        <v>14.9</v>
      </c>
      <c r="G33" s="25" t="n">
        <v>22.9</v>
      </c>
      <c r="H33" s="25" t="n">
        <v>5.3</v>
      </c>
    </row>
    <row r="34">
      <c r="B34" s="5" t="inlineStr">
        <is>
          <t>Broadcom</t>
        </is>
      </c>
      <c r="C34" s="24" t="inlineStr">
        <is>
          <t>AVGO</t>
        </is>
      </c>
      <c r="D34" s="8" t="n">
        <v>1973.4</v>
      </c>
      <c r="E34" s="8" t="n">
        <v>104.2</v>
      </c>
      <c r="F34" s="25" t="n">
        <v>27.6</v>
      </c>
      <c r="G34" s="25" t="n">
        <v>81.09999999999999</v>
      </c>
      <c r="H34" s="25" t="n">
        <v>19</v>
      </c>
    </row>
    <row r="35">
      <c r="B35" s="5" t="inlineStr">
        <is>
          <t>Texas Instruments</t>
        </is>
      </c>
      <c r="C35" s="24" t="inlineStr">
        <is>
          <t>TXN</t>
        </is>
      </c>
      <c r="D35" s="8" t="n">
        <v>278.9</v>
      </c>
      <c r="E35" s="8" t="n">
        <v>21</v>
      </c>
      <c r="F35" s="25" t="n">
        <v>25.5</v>
      </c>
      <c r="G35" s="25" t="n">
        <v>52.5</v>
      </c>
      <c r="H35" s="25" t="n">
        <v>13.3</v>
      </c>
    </row>
    <row r="36">
      <c r="B36" s="5" t="inlineStr">
        <is>
          <t>Micron Technology</t>
        </is>
      </c>
      <c r="C36" s="24" t="inlineStr">
        <is>
          <t>MU</t>
        </is>
      </c>
      <c r="D36" s="8" t="n">
        <v>906.3</v>
      </c>
      <c r="E36" s="8" t="n">
        <v>109.3</v>
      </c>
      <c r="F36" s="25" t="n">
        <v>10.2</v>
      </c>
      <c r="G36" s="25" t="n">
        <v>38</v>
      </c>
      <c r="H36" s="25" t="n">
        <v>8.300000000000001</v>
      </c>
    </row>
    <row r="37">
      <c r="B37" s="5" t="inlineStr">
        <is>
          <t>TSMC</t>
        </is>
      </c>
      <c r="C37" s="24" t="inlineStr">
        <is>
          <t>TSM</t>
        </is>
      </c>
      <c r="D37" s="8" t="n">
        <v>2073.3</v>
      </c>
      <c r="E37" s="8" t="n">
        <v>142</v>
      </c>
      <c r="F37" s="25" t="n">
        <v>24.4</v>
      </c>
      <c r="G37" s="25" t="n">
        <v>34.1</v>
      </c>
      <c r="H37" s="25" t="n">
        <v>14.6</v>
      </c>
    </row>
    <row r="38">
      <c r="B38" s="26" t="inlineStr">
        <is>
          <t>Peer Median (excl NVDA)</t>
        </is>
      </c>
      <c r="C38" s="27" t="inlineStr">
        <is>
          <t>—</t>
        </is>
      </c>
      <c r="D38" s="28" t="inlineStr">
        <is>
          <t>—</t>
        </is>
      </c>
      <c r="E38" s="28" t="inlineStr">
        <is>
          <t>—</t>
        </is>
      </c>
      <c r="F38" s="29" t="n">
        <v>24.9</v>
      </c>
      <c r="G38" s="29" t="n">
        <v>45.2</v>
      </c>
      <c r="H38" s="29" t="n">
        <v>13.9</v>
      </c>
    </row>
    <row r="39">
      <c r="B39" s="26" t="inlineStr">
        <is>
          <t>Intel</t>
        </is>
      </c>
      <c r="C39" s="27" t="inlineStr">
        <is>
          <t>INTC</t>
        </is>
      </c>
      <c r="D39" s="30" t="n">
        <v>604.6</v>
      </c>
      <c r="E39" s="30" t="n">
        <v>58.6</v>
      </c>
      <c r="F39" s="29" t="n">
        <v>32</v>
      </c>
      <c r="G39" s="28" t="inlineStr">
        <is>
          <t>NM</t>
        </is>
      </c>
      <c r="H39" s="29" t="n">
        <v>10.3</v>
      </c>
    </row>
    <row r="42">
      <c r="B42" s="31" t="inlineStr">
        <is>
          <t>Source: Company filings, consensus estimates, proprietary model. Generated 2026-05-13.</t>
        </is>
      </c>
    </row>
  </sheetData>
  <mergeCells count="6">
    <mergeCell ref="B2:M2"/>
    <mergeCell ref="B3:M3"/>
    <mergeCell ref="B5:M5"/>
    <mergeCell ref="B23:M23"/>
    <mergeCell ref="B12:M12"/>
    <mergeCell ref="B29:M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 ht="26" customHeight="1">
      <c r="B2" s="1" t="inlineStr">
        <is>
          <t>INTEL CORPORATION — REVENUE MODEL ($B)</t>
        </is>
      </c>
    </row>
    <row r="4">
      <c r="B4" s="32" t="inlineStr">
        <is>
          <t>Segment</t>
        </is>
      </c>
      <c r="C4" s="32" t="inlineStr">
        <is>
          <t>FY2021A</t>
        </is>
      </c>
      <c r="D4" s="32" t="inlineStr">
        <is>
          <t>FY2022A</t>
        </is>
      </c>
      <c r="E4" s="32" t="inlineStr">
        <is>
          <t>FY2023A</t>
        </is>
      </c>
      <c r="F4" s="32" t="inlineStr">
        <is>
          <t>FY2024A</t>
        </is>
      </c>
      <c r="G4" s="32" t="inlineStr">
        <is>
          <t>FY2025A</t>
        </is>
      </c>
      <c r="H4" s="32" t="inlineStr">
        <is>
          <t>FY2026E</t>
        </is>
      </c>
      <c r="I4" s="32" t="inlineStr">
        <is>
          <t>FY2027E</t>
        </is>
      </c>
      <c r="J4" s="32" t="inlineStr">
        <is>
          <t>FY2028E</t>
        </is>
      </c>
      <c r="K4" s="32" t="inlineStr">
        <is>
          <t>FY2029E</t>
        </is>
      </c>
      <c r="L4" s="32" t="inlineStr">
        <is>
          <t>FY2030E</t>
        </is>
      </c>
      <c r="M4" s="32" t="inlineStr">
        <is>
          <t>CAGR ('25-'30)</t>
        </is>
      </c>
    </row>
    <row r="5">
      <c r="B5" s="33" t="inlineStr">
        <is>
          <t>SEGMENT REVENUE — BASE CASE ($B)</t>
        </is>
      </c>
    </row>
    <row r="6">
      <c r="B6" s="5" t="inlineStr">
        <is>
          <t>Client Computing Group (CCG)</t>
        </is>
      </c>
      <c r="C6" s="34" t="n">
        <v>36.5</v>
      </c>
      <c r="D6" s="34" t="n">
        <v>31.7</v>
      </c>
      <c r="E6" s="34" t="n">
        <v>25.8</v>
      </c>
      <c r="F6" s="34" t="n">
        <v>29.3</v>
      </c>
      <c r="G6" s="34" t="n">
        <v>33.2</v>
      </c>
      <c r="H6" s="35" t="n">
        <v>33.5</v>
      </c>
      <c r="I6" s="35" t="n">
        <v>34.5</v>
      </c>
      <c r="J6" s="35" t="n">
        <v>36</v>
      </c>
      <c r="K6" s="35" t="n">
        <v>38</v>
      </c>
      <c r="L6" s="35" t="n">
        <v>40</v>
      </c>
      <c r="M6" s="10" t="n">
        <v>0.03796899633162476</v>
      </c>
    </row>
    <row r="7">
      <c r="B7" s="5" t="inlineStr">
        <is>
          <t>Data Center &amp; AI (DCAI)</t>
        </is>
      </c>
      <c r="C7" s="34" t="n">
        <v>19.4</v>
      </c>
      <c r="D7" s="34" t="n">
        <v>19.1</v>
      </c>
      <c r="E7" s="34" t="n">
        <v>15.5</v>
      </c>
      <c r="F7" s="34" t="n">
        <v>12.8</v>
      </c>
      <c r="G7" s="34" t="n">
        <v>13.5</v>
      </c>
      <c r="H7" s="35" t="n">
        <v>18.5</v>
      </c>
      <c r="I7" s="35" t="n">
        <v>22</v>
      </c>
      <c r="J7" s="35" t="n">
        <v>26</v>
      </c>
      <c r="K7" s="35" t="n">
        <v>28.5</v>
      </c>
      <c r="L7" s="35" t="n">
        <v>30.5</v>
      </c>
      <c r="M7" s="10" t="n">
        <v>0.1770453993611598</v>
      </c>
    </row>
    <row r="8">
      <c r="B8" s="5" t="inlineStr">
        <is>
          <t>Intel Foundry (IF)</t>
        </is>
      </c>
      <c r="C8" s="34" t="n">
        <v>0</v>
      </c>
      <c r="D8" s="34" t="n">
        <v>0</v>
      </c>
      <c r="E8" s="34" t="n">
        <v>0</v>
      </c>
      <c r="F8" s="34" t="n">
        <v>6.2</v>
      </c>
      <c r="G8" s="34" t="n">
        <v>17</v>
      </c>
      <c r="H8" s="35" t="n">
        <v>4.5</v>
      </c>
      <c r="I8" s="35" t="n">
        <v>6.5</v>
      </c>
      <c r="J8" s="35" t="n">
        <v>7.5</v>
      </c>
      <c r="K8" s="35" t="n">
        <v>9.5</v>
      </c>
      <c r="L8" s="35" t="n">
        <v>12</v>
      </c>
      <c r="M8" s="10" t="n">
        <v>-0.06729036105934671</v>
      </c>
    </row>
    <row r="9">
      <c r="B9" s="5" t="inlineStr">
        <is>
          <t>Network &amp; Edge (NEX)</t>
        </is>
      </c>
      <c r="C9" s="34" t="n">
        <v>7.5</v>
      </c>
      <c r="D9" s="34" t="n">
        <v>9</v>
      </c>
      <c r="E9" s="34" t="n">
        <v>6.4</v>
      </c>
      <c r="F9" s="34" t="n">
        <v>3.4</v>
      </c>
      <c r="G9" s="34" t="n">
        <v>3</v>
      </c>
      <c r="H9" s="35" t="n">
        <v>2.5</v>
      </c>
      <c r="I9" s="35" t="n">
        <v>2.5</v>
      </c>
      <c r="J9" s="35" t="n">
        <v>2.5</v>
      </c>
      <c r="K9" s="35" t="n">
        <v>2.5</v>
      </c>
      <c r="L9" s="35" t="n">
        <v>2.5</v>
      </c>
      <c r="M9" s="10" t="n">
        <v>-0.03580749599737276</v>
      </c>
    </row>
    <row r="10">
      <c r="B10" s="5" t="inlineStr">
        <is>
          <t>Other / Altera / Mobileye</t>
        </is>
      </c>
      <c r="C10" s="34" t="n">
        <v>7.3</v>
      </c>
      <c r="D10" s="34" t="n">
        <v>3.3</v>
      </c>
      <c r="E10" s="34" t="n">
        <v>6.5</v>
      </c>
      <c r="F10" s="34" t="n">
        <v>1.4</v>
      </c>
      <c r="G10" s="34" t="n">
        <v>0</v>
      </c>
      <c r="H10" s="35" t="n">
        <v>0</v>
      </c>
      <c r="I10" s="35" t="n">
        <v>0.5</v>
      </c>
      <c r="J10" s="35" t="n">
        <v>0.5</v>
      </c>
      <c r="K10" s="35" t="n">
        <v>0.5</v>
      </c>
      <c r="L10" s="35" t="n">
        <v>0.5</v>
      </c>
    </row>
    <row r="11">
      <c r="B11" s="7" t="inlineStr">
        <is>
          <t>Total Revenue (Base)</t>
        </is>
      </c>
      <c r="C11" s="36">
        <f>SUM(C6:C10)</f>
        <v/>
      </c>
      <c r="D11" s="36">
        <f>SUM(D6:D10)</f>
        <v/>
      </c>
      <c r="E11" s="36">
        <f>SUM(E6:E10)</f>
        <v/>
      </c>
      <c r="F11" s="36">
        <f>SUM(F6:F10)</f>
        <v/>
      </c>
      <c r="G11" s="36">
        <f>SUM(G6:G10)</f>
        <v/>
      </c>
      <c r="H11" s="36">
        <f>SUM(H6:H10)</f>
        <v/>
      </c>
      <c r="I11" s="36">
        <f>SUM(I6:I10)</f>
        <v/>
      </c>
      <c r="J11" s="36">
        <f>SUM(J6:J10)</f>
        <v/>
      </c>
      <c r="K11" s="36">
        <f>SUM(K6:K10)</f>
        <v/>
      </c>
      <c r="L11" s="36">
        <f>SUM(L6:L10)</f>
        <v/>
      </c>
      <c r="M11" s="37">
        <f>(L11/H11)^(1/5)-1</f>
        <v/>
      </c>
    </row>
    <row r="13">
      <c r="B13" s="33" t="inlineStr">
        <is>
          <t>Total Revenue (Bull)</t>
        </is>
      </c>
    </row>
    <row r="14">
      <c r="B14" s="5" t="inlineStr">
        <is>
          <t>Client Computing Group (CCG)</t>
        </is>
      </c>
      <c r="C14" s="8" t="n">
        <v>36.5</v>
      </c>
      <c r="D14" s="8" t="n">
        <v>31.7</v>
      </c>
      <c r="E14" s="8" t="n">
        <v>25.8</v>
      </c>
      <c r="F14" s="8" t="n">
        <v>29.3</v>
      </c>
      <c r="G14" s="8" t="n">
        <v>33.2</v>
      </c>
      <c r="H14" s="35" t="n">
        <v>35</v>
      </c>
      <c r="I14" s="35" t="n">
        <v>36.5</v>
      </c>
      <c r="J14" s="35" t="n">
        <v>39</v>
      </c>
      <c r="K14" s="35" t="n">
        <v>42</v>
      </c>
      <c r="L14" s="35" t="n">
        <v>45</v>
      </c>
    </row>
    <row r="15">
      <c r="B15" s="5" t="inlineStr">
        <is>
          <t>Data Center &amp; AI (DCAI)</t>
        </is>
      </c>
      <c r="C15" s="8" t="n">
        <v>19.4</v>
      </c>
      <c r="D15" s="8" t="n">
        <v>19.1</v>
      </c>
      <c r="E15" s="8" t="n">
        <v>15.5</v>
      </c>
      <c r="F15" s="8" t="n">
        <v>12.8</v>
      </c>
      <c r="G15" s="8" t="n">
        <v>13.5</v>
      </c>
      <c r="H15" s="35" t="n">
        <v>19.5</v>
      </c>
      <c r="I15" s="35" t="n">
        <v>24.5</v>
      </c>
      <c r="J15" s="35" t="n">
        <v>30</v>
      </c>
      <c r="K15" s="35" t="n">
        <v>33</v>
      </c>
      <c r="L15" s="35" t="n">
        <v>35</v>
      </c>
    </row>
    <row r="16">
      <c r="B16" s="5" t="inlineStr">
        <is>
          <t>Intel Foundry (IF)</t>
        </is>
      </c>
      <c r="C16" s="8" t="n">
        <v>0</v>
      </c>
      <c r="D16" s="8" t="n">
        <v>0</v>
      </c>
      <c r="E16" s="8" t="n">
        <v>0</v>
      </c>
      <c r="F16" s="8" t="n">
        <v>6.2</v>
      </c>
      <c r="G16" s="8" t="n">
        <v>17</v>
      </c>
      <c r="H16" s="35" t="n">
        <v>5</v>
      </c>
      <c r="I16" s="35" t="n">
        <v>7.5</v>
      </c>
      <c r="J16" s="35" t="n">
        <v>9</v>
      </c>
      <c r="K16" s="35" t="n">
        <v>12</v>
      </c>
      <c r="L16" s="35" t="n">
        <v>16</v>
      </c>
    </row>
    <row r="17">
      <c r="B17" s="5" t="inlineStr">
        <is>
          <t>Network &amp; Edge (NEX)</t>
        </is>
      </c>
      <c r="C17" s="8" t="n">
        <v>7.5</v>
      </c>
      <c r="D17" s="8" t="n">
        <v>9</v>
      </c>
      <c r="E17" s="8" t="n">
        <v>6.4</v>
      </c>
      <c r="F17" s="8" t="n">
        <v>3.4</v>
      </c>
      <c r="G17" s="8" t="n">
        <v>3</v>
      </c>
      <c r="H17" s="35" t="n">
        <v>2.5</v>
      </c>
      <c r="I17" s="35" t="n">
        <v>2.5</v>
      </c>
      <c r="J17" s="35" t="n">
        <v>2.5</v>
      </c>
      <c r="K17" s="35" t="n">
        <v>2.5</v>
      </c>
      <c r="L17" s="35" t="n">
        <v>2.5</v>
      </c>
    </row>
    <row r="18">
      <c r="B18" s="5" t="inlineStr">
        <is>
          <t>Other / Altera / Mobileye</t>
        </is>
      </c>
      <c r="C18" s="8" t="n">
        <v>7.3</v>
      </c>
      <c r="D18" s="8" t="n">
        <v>3.3</v>
      </c>
      <c r="E18" s="8" t="n">
        <v>6.5</v>
      </c>
      <c r="F18" s="8" t="n">
        <v>1.4</v>
      </c>
      <c r="G18" s="8" t="n">
        <v>0</v>
      </c>
      <c r="H18" s="35" t="n">
        <v>0</v>
      </c>
      <c r="I18" s="35" t="n">
        <v>0.5</v>
      </c>
      <c r="J18" s="35" t="n">
        <v>0.5</v>
      </c>
      <c r="K18" s="35" t="n">
        <v>0.5</v>
      </c>
      <c r="L18" s="35" t="n">
        <v>0.5</v>
      </c>
    </row>
    <row r="19">
      <c r="B19" s="7" t="inlineStr">
        <is>
          <t>Total Revenue (Bull)</t>
        </is>
      </c>
      <c r="C19" s="38">
        <f>SUM(C14:C18)</f>
        <v/>
      </c>
      <c r="D19" s="38">
        <f>SUM(D14:D18)</f>
        <v/>
      </c>
      <c r="E19" s="38">
        <f>SUM(E14:E18)</f>
        <v/>
      </c>
      <c r="F19" s="38">
        <f>SUM(F14:F18)</f>
        <v/>
      </c>
      <c r="G19" s="38">
        <f>SUM(G14:G18)</f>
        <v/>
      </c>
      <c r="H19" s="38">
        <f>SUM(H14:H18)</f>
        <v/>
      </c>
      <c r="I19" s="38">
        <f>SUM(I14:I18)</f>
        <v/>
      </c>
      <c r="J19" s="38">
        <f>SUM(J14:J18)</f>
        <v/>
      </c>
      <c r="K19" s="38">
        <f>SUM(K14:K18)</f>
        <v/>
      </c>
      <c r="L19" s="38">
        <f>SUM(L14:L18)</f>
        <v/>
      </c>
    </row>
    <row r="21">
      <c r="B21" s="33" t="inlineStr">
        <is>
          <t>Total Revenue (Bear)</t>
        </is>
      </c>
    </row>
    <row r="22">
      <c r="B22" s="5" t="inlineStr">
        <is>
          <t>Client Computing Group (CCG)</t>
        </is>
      </c>
      <c r="C22" s="8" t="n">
        <v>36.5</v>
      </c>
      <c r="D22" s="8" t="n">
        <v>31.7</v>
      </c>
      <c r="E22" s="8" t="n">
        <v>25.8</v>
      </c>
      <c r="F22" s="8" t="n">
        <v>29.3</v>
      </c>
      <c r="G22" s="8" t="n">
        <v>33.2</v>
      </c>
      <c r="H22" s="35" t="n">
        <v>31</v>
      </c>
      <c r="I22" s="35" t="n">
        <v>31.5</v>
      </c>
      <c r="J22" s="35" t="n">
        <v>32.5</v>
      </c>
      <c r="K22" s="35" t="n">
        <v>33</v>
      </c>
      <c r="L22" s="35" t="n">
        <v>33.5</v>
      </c>
    </row>
    <row r="23">
      <c r="B23" s="5" t="inlineStr">
        <is>
          <t>Data Center &amp; AI (DCAI)</t>
        </is>
      </c>
      <c r="C23" s="8" t="n">
        <v>19.4</v>
      </c>
      <c r="D23" s="8" t="n">
        <v>19.1</v>
      </c>
      <c r="E23" s="8" t="n">
        <v>15.5</v>
      </c>
      <c r="F23" s="8" t="n">
        <v>12.8</v>
      </c>
      <c r="G23" s="8" t="n">
        <v>13.5</v>
      </c>
      <c r="H23" s="35" t="n">
        <v>16</v>
      </c>
      <c r="I23" s="35" t="n">
        <v>18</v>
      </c>
      <c r="J23" s="35" t="n">
        <v>21</v>
      </c>
      <c r="K23" s="35" t="n">
        <v>22.5</v>
      </c>
      <c r="L23" s="35" t="n">
        <v>23.5</v>
      </c>
    </row>
    <row r="24">
      <c r="B24" s="5" t="inlineStr">
        <is>
          <t>Intel Foundry (IF)</t>
        </is>
      </c>
      <c r="C24" s="8" t="n">
        <v>0</v>
      </c>
      <c r="D24" s="8" t="n">
        <v>0</v>
      </c>
      <c r="E24" s="8" t="n">
        <v>0</v>
      </c>
      <c r="F24" s="8" t="n">
        <v>6.2</v>
      </c>
      <c r="G24" s="8" t="n">
        <v>17</v>
      </c>
      <c r="H24" s="35" t="n">
        <v>3.5</v>
      </c>
      <c r="I24" s="35" t="n">
        <v>4.5</v>
      </c>
      <c r="J24" s="35" t="n">
        <v>5</v>
      </c>
      <c r="K24" s="35" t="n">
        <v>6</v>
      </c>
      <c r="L24" s="35" t="n">
        <v>7</v>
      </c>
    </row>
    <row r="25">
      <c r="B25" s="5" t="inlineStr">
        <is>
          <t>Network &amp; Edge (NEX)</t>
        </is>
      </c>
      <c r="C25" s="8" t="n">
        <v>7.5</v>
      </c>
      <c r="D25" s="8" t="n">
        <v>9</v>
      </c>
      <c r="E25" s="8" t="n">
        <v>6.4</v>
      </c>
      <c r="F25" s="8" t="n">
        <v>3.4</v>
      </c>
      <c r="G25" s="8" t="n">
        <v>3</v>
      </c>
      <c r="H25" s="35" t="n">
        <v>2.5</v>
      </c>
      <c r="I25" s="35" t="n">
        <v>2.5</v>
      </c>
      <c r="J25" s="35" t="n">
        <v>2.5</v>
      </c>
      <c r="K25" s="35" t="n">
        <v>2.5</v>
      </c>
      <c r="L25" s="35" t="n">
        <v>2.5</v>
      </c>
    </row>
    <row r="26">
      <c r="B26" s="5" t="inlineStr">
        <is>
          <t>Other / Altera / Mobileye</t>
        </is>
      </c>
      <c r="C26" s="8" t="n">
        <v>7.3</v>
      </c>
      <c r="D26" s="8" t="n">
        <v>3.3</v>
      </c>
      <c r="E26" s="8" t="n">
        <v>6.5</v>
      </c>
      <c r="F26" s="8" t="n">
        <v>1.4</v>
      </c>
      <c r="G26" s="8" t="n">
        <v>0</v>
      </c>
      <c r="H26" s="35" t="n">
        <v>0</v>
      </c>
      <c r="I26" s="35" t="n">
        <v>0.5</v>
      </c>
      <c r="J26" s="35" t="n">
        <v>0.5</v>
      </c>
      <c r="K26" s="35" t="n">
        <v>0.5</v>
      </c>
      <c r="L26" s="35" t="n">
        <v>0.5</v>
      </c>
    </row>
    <row r="27">
      <c r="B27" s="7" t="inlineStr">
        <is>
          <t>Total Revenue (Bear)</t>
        </is>
      </c>
      <c r="C27" s="39">
        <f>SUM(C22:C26)</f>
        <v/>
      </c>
      <c r="D27" s="39">
        <f>SUM(D22:D26)</f>
        <v/>
      </c>
      <c r="E27" s="39">
        <f>SUM(E22:E26)</f>
        <v/>
      </c>
      <c r="F27" s="39">
        <f>SUM(F22:F26)</f>
        <v/>
      </c>
      <c r="G27" s="39">
        <f>SUM(G22:G26)</f>
        <v/>
      </c>
      <c r="H27" s="39">
        <f>SUM(H22:H26)</f>
        <v/>
      </c>
      <c r="I27" s="39">
        <f>SUM(I22:I26)</f>
        <v/>
      </c>
      <c r="J27" s="39">
        <f>SUM(J22:J26)</f>
        <v/>
      </c>
      <c r="K27" s="39">
        <f>SUM(K22:K26)</f>
        <v/>
      </c>
      <c r="L27" s="39">
        <f>SUM(L22:L26)</f>
        <v/>
      </c>
    </row>
    <row r="29">
      <c r="B29" s="33" t="inlineStr">
        <is>
          <t>REVENUE GROWTH RATES (YoY)</t>
        </is>
      </c>
    </row>
    <row r="30">
      <c r="B30" s="5" t="inlineStr">
        <is>
          <t>Base Case YoY Growth</t>
        </is>
      </c>
      <c r="D30" s="10" t="n">
        <v>-0.1552878179384204</v>
      </c>
      <c r="E30" s="10" t="n">
        <v>-0.1410459587955626</v>
      </c>
      <c r="F30" s="10" t="n">
        <v>-0.02029520295202954</v>
      </c>
      <c r="G30" s="10" t="n">
        <v>-0.003766478342749583</v>
      </c>
      <c r="H30" s="40">
        <f>(H11-G11)/G11</f>
        <v/>
      </c>
      <c r="I30" s="40">
        <f>(I11-H11)/H11</f>
        <v/>
      </c>
      <c r="J30" s="40">
        <f>(J11-I11)/I11</f>
        <v/>
      </c>
      <c r="K30" s="40">
        <f>(K11-J11)/J11</f>
        <v/>
      </c>
      <c r="L30" s="40">
        <f>(L11-K11)/K11</f>
        <v/>
      </c>
    </row>
    <row r="32">
      <c r="B32" s="31" t="inlineStr">
        <is>
          <t>Source: Intel 10-K/Q filings, Q1 2026 earnings release, consensus estimates. Generated 2026-05-13.</t>
        </is>
      </c>
    </row>
  </sheetData>
  <mergeCells count="5">
    <mergeCell ref="B13:M13"/>
    <mergeCell ref="B2:Q2"/>
    <mergeCell ref="B21:M21"/>
    <mergeCell ref="B29:M29"/>
    <mergeCell ref="B5:Q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6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3" customWidth="1" min="3" max="3"/>
    <col width="13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6" customHeight="1">
      <c r="B2" s="1" t="inlineStr">
        <is>
          <t>INTEL CORPORATION — DCF VALUATION MODEL</t>
        </is>
      </c>
    </row>
    <row r="4">
      <c r="B4" s="33" t="inlineStr">
        <is>
          <t>WACC CALCULATION</t>
        </is>
      </c>
    </row>
    <row r="5">
      <c r="B5" s="6" t="inlineStr">
        <is>
          <t>Input</t>
        </is>
      </c>
      <c r="C5" s="6" t="inlineStr">
        <is>
          <t>Value</t>
        </is>
      </c>
      <c r="D5" s="6" t="inlineStr">
        <is>
          <t>Format</t>
        </is>
      </c>
      <c r="E5" s="6" t="inlineStr">
        <is>
          <t>Note</t>
        </is>
      </c>
    </row>
    <row r="6">
      <c r="B6" s="5" t="inlineStr">
        <is>
          <t>Risk-Free Rate (10Y UST)</t>
        </is>
      </c>
      <c r="C6" s="41" t="n">
        <v>0.044</v>
      </c>
      <c r="E6" s="42" t="inlineStr">
        <is>
          <t>Source: US Treasury, May 2026</t>
        </is>
      </c>
    </row>
    <row r="7">
      <c r="B7" s="5" t="inlineStr">
        <is>
          <t>Beta</t>
        </is>
      </c>
      <c r="C7" s="43" t="n">
        <v>1.35</v>
      </c>
      <c r="E7" s="42" t="inlineStr">
        <is>
          <t>Elevated for IDM turnaround execution risk</t>
        </is>
      </c>
    </row>
    <row r="8">
      <c r="B8" s="5" t="inlineStr">
        <is>
          <t>Equity Risk Premium (ERP)</t>
        </is>
      </c>
      <c r="C8" s="41" t="n">
        <v>0.055</v>
      </c>
      <c r="E8" s="42" t="inlineStr">
        <is>
          <t>Damodaran estimate</t>
        </is>
      </c>
    </row>
    <row r="9">
      <c r="B9" s="5" t="inlineStr">
        <is>
          <t>Cost of Equity (Ke = Rf + β × ERP)</t>
        </is>
      </c>
      <c r="C9" s="41">
        <f>C6+C7*C8</f>
        <v/>
      </c>
      <c r="E9" s="42" t="inlineStr">
        <is>
          <t>Formula: 4.4% + 1.35×5.5%</t>
        </is>
      </c>
    </row>
    <row r="10">
      <c r="B10" s="5" t="inlineStr">
        <is>
          <t>Pre-Tax Cost of Debt</t>
        </is>
      </c>
      <c r="C10" s="41" t="n">
        <v>0.04</v>
      </c>
      <c r="E10" s="42" t="inlineStr">
        <is>
          <t>Avg coupon on Intel long-term debt</t>
        </is>
      </c>
    </row>
    <row r="11">
      <c r="B11" s="5" t="inlineStr">
        <is>
          <t>Effective Tax Rate</t>
        </is>
      </c>
      <c r="C11" s="41" t="n">
        <v>0.12</v>
      </c>
      <c r="E11" s="42" t="inlineStr">
        <is>
          <t>Non-GAAP effective rate</t>
        </is>
      </c>
    </row>
    <row r="12">
      <c r="B12" s="5" t="inlineStr">
        <is>
          <t>After-Tax Cost of Debt (Kd)</t>
        </is>
      </c>
      <c r="C12" s="41">
        <f>C10*(1-C11)</f>
        <v/>
      </c>
      <c r="E12" s="42">
        <f> Kd × (1-T)</f>
        <v/>
      </c>
    </row>
    <row r="13">
      <c r="B13" s="5" t="inlineStr">
        <is>
          <t>Equity Weight (E/V)</t>
        </is>
      </c>
      <c r="C13" s="41" t="n">
        <v>0.9634</v>
      </c>
      <c r="E13" s="42" t="inlineStr">
        <is>
          <t>Market cap / (Mkt cap + Total debt)</t>
        </is>
      </c>
    </row>
    <row r="14">
      <c r="B14" s="5" t="inlineStr">
        <is>
          <t>Debt Weight (D/V)</t>
        </is>
      </c>
      <c r="C14" s="41" t="n">
        <v>0.07489999999999999</v>
      </c>
      <c r="E14" s="42" t="inlineStr">
        <is>
          <t>Total debt / (Mkt cap + Total debt)</t>
        </is>
      </c>
    </row>
    <row r="15">
      <c r="B15" s="5" t="inlineStr">
        <is>
          <t>WACC</t>
        </is>
      </c>
      <c r="C15" s="44">
        <f>C13*C9+C14*C12</f>
        <v/>
      </c>
      <c r="E15" s="42">
        <f> E/V×Ke + D/V×Kd×(1-T)</f>
        <v/>
      </c>
    </row>
    <row r="17">
      <c r="B17" s="33" t="inlineStr">
        <is>
          <t>PROJECTED UNLEVERED FREE CASH FLOW — BASE CASE ($B)</t>
        </is>
      </c>
    </row>
    <row r="18">
      <c r="B18" s="6" t="inlineStr">
        <is>
          <t>Line Item</t>
        </is>
      </c>
      <c r="C18" s="6" t="inlineStr">
        <is>
          <t>FY2026E</t>
        </is>
      </c>
      <c r="D18" s="6" t="inlineStr">
        <is>
          <t>FY2027E</t>
        </is>
      </c>
      <c r="E18" s="6" t="inlineStr">
        <is>
          <t>FY2028E</t>
        </is>
      </c>
      <c r="F18" s="6" t="inlineStr">
        <is>
          <t>FY2029E</t>
        </is>
      </c>
      <c r="G18" s="6" t="inlineStr">
        <is>
          <t>FY2030E</t>
        </is>
      </c>
    </row>
    <row r="19">
      <c r="B19" s="7" t="inlineStr">
        <is>
          <t>Revenue ($B)</t>
        </is>
      </c>
      <c r="C19" s="8" t="n">
        <v>58.6</v>
      </c>
      <c r="D19" s="8" t="n">
        <v>65</v>
      </c>
      <c r="E19" s="8" t="n">
        <v>71.40000000000001</v>
      </c>
      <c r="F19" s="8" t="n">
        <v>77.5</v>
      </c>
      <c r="G19" s="8" t="n">
        <v>83.5</v>
      </c>
    </row>
    <row r="20">
      <c r="B20" s="5" t="inlineStr">
        <is>
          <t>Revenue Growth</t>
        </is>
      </c>
      <c r="C20" s="10" t="n">
        <v>0.109</v>
      </c>
      <c r="D20" s="10" t="n">
        <v>0.109</v>
      </c>
      <c r="E20" s="10" t="n">
        <v>0.098</v>
      </c>
      <c r="F20" s="10" t="n">
        <v>0.08500000000000001</v>
      </c>
      <c r="G20" s="10" t="n">
        <v>0.077</v>
      </c>
    </row>
    <row r="21">
      <c r="B21" s="5" t="inlineStr">
        <is>
          <t>Adj EBITDA Margin</t>
        </is>
      </c>
      <c r="C21" s="10" t="n">
        <v>0.334</v>
      </c>
      <c r="D21" s="10" t="n">
        <v>0.379</v>
      </c>
      <c r="E21" s="10" t="n">
        <v>0.393</v>
      </c>
      <c r="F21" s="10" t="n">
        <v>0.41</v>
      </c>
      <c r="G21" s="10" t="n">
        <v>0.425</v>
      </c>
    </row>
    <row r="22">
      <c r="B22" s="7" t="inlineStr">
        <is>
          <t>Adj EBITDA</t>
        </is>
      </c>
      <c r="C22" s="8" t="n">
        <v>19.57</v>
      </c>
      <c r="D22" s="8" t="n">
        <v>24.64</v>
      </c>
      <c r="E22" s="8" t="n">
        <v>28.06</v>
      </c>
      <c r="F22" s="8" t="n">
        <v>31.78</v>
      </c>
      <c r="G22" s="8" t="n">
        <v>35.49</v>
      </c>
    </row>
    <row r="23">
      <c r="B23" s="5" t="inlineStr">
        <is>
          <t>D&amp;A (% Revenue)</t>
        </is>
      </c>
      <c r="C23" s="10" t="n">
        <v>0.14</v>
      </c>
      <c r="D23" s="10" t="n">
        <v>0.13</v>
      </c>
      <c r="E23" s="10" t="n">
        <v>0.12</v>
      </c>
      <c r="F23" s="10" t="n">
        <v>0.11</v>
      </c>
      <c r="G23" s="10" t="n">
        <v>0.1</v>
      </c>
    </row>
    <row r="24">
      <c r="B24" s="5" t="inlineStr">
        <is>
          <t>D&amp;A ($B)</t>
        </is>
      </c>
      <c r="C24" s="8" t="n">
        <v>8.199999999999999</v>
      </c>
      <c r="D24" s="8" t="n">
        <v>8.449999999999999</v>
      </c>
      <c r="E24" s="8" t="n">
        <v>8.57</v>
      </c>
      <c r="F24" s="8" t="n">
        <v>8.529999999999999</v>
      </c>
      <c r="G24" s="8" t="n">
        <v>8.35</v>
      </c>
    </row>
    <row r="25">
      <c r="B25" s="5" t="inlineStr">
        <is>
          <t>EBIT</t>
        </is>
      </c>
      <c r="C25" s="8" t="n">
        <v>11.37</v>
      </c>
      <c r="D25" s="8" t="n">
        <v>16.19</v>
      </c>
      <c r="E25" s="8" t="n">
        <v>19.49</v>
      </c>
      <c r="F25" s="8" t="n">
        <v>23.25</v>
      </c>
      <c r="G25" s="8" t="n">
        <v>27.14</v>
      </c>
    </row>
    <row r="26">
      <c r="B26" s="5" t="inlineStr">
        <is>
          <t>NOPAT (EBIT × (1–T))</t>
        </is>
      </c>
      <c r="C26" s="8" t="n">
        <v>10.01</v>
      </c>
      <c r="D26" s="8" t="n">
        <v>14.25</v>
      </c>
      <c r="E26" s="8" t="n">
        <v>17.15</v>
      </c>
      <c r="F26" s="8" t="n">
        <v>20.46</v>
      </c>
      <c r="G26" s="8" t="n">
        <v>23.88</v>
      </c>
    </row>
    <row r="27">
      <c r="B27" s="5" t="inlineStr">
        <is>
          <t>CapEx (% Revenue)</t>
        </is>
      </c>
      <c r="C27" s="10" t="n">
        <v>0.24</v>
      </c>
      <c r="D27" s="10" t="n">
        <v>0.22</v>
      </c>
      <c r="E27" s="10" t="n">
        <v>0.2</v>
      </c>
      <c r="F27" s="10" t="n">
        <v>0.19</v>
      </c>
      <c r="G27" s="10" t="n">
        <v>0.18</v>
      </c>
    </row>
    <row r="28">
      <c r="B28" s="5" t="inlineStr">
        <is>
          <t>CapEx ($B)</t>
        </is>
      </c>
      <c r="C28" s="8" t="n">
        <v>14.06</v>
      </c>
      <c r="D28" s="8" t="n">
        <v>14.3</v>
      </c>
      <c r="E28" s="8" t="n">
        <v>14.28</v>
      </c>
      <c r="F28" s="8" t="n">
        <v>14.73</v>
      </c>
      <c r="G28" s="8" t="n">
        <v>15.03</v>
      </c>
    </row>
    <row r="29">
      <c r="B29" s="7" t="inlineStr">
        <is>
          <t>Unlevered Free Cash Flow</t>
        </is>
      </c>
      <c r="C29" s="45" t="n">
        <v>4.14</v>
      </c>
      <c r="D29" s="45" t="n">
        <v>8.390000000000001</v>
      </c>
      <c r="E29" s="45" t="n">
        <v>11.44</v>
      </c>
      <c r="F29" s="45" t="n">
        <v>14.26</v>
      </c>
      <c r="G29" s="45" t="n">
        <v>17.2</v>
      </c>
    </row>
    <row r="30">
      <c r="B30" s="5" t="inlineStr">
        <is>
          <t>Discount Factor</t>
        </is>
      </c>
      <c r="C30" s="8" t="n">
        <v>0.895</v>
      </c>
      <c r="D30" s="8" t="n">
        <v>0.801</v>
      </c>
      <c r="E30" s="8" t="n">
        <v>0.718</v>
      </c>
      <c r="F30" s="8" t="n">
        <v>0.643</v>
      </c>
      <c r="G30" s="8" t="n">
        <v>0.576</v>
      </c>
    </row>
    <row r="31">
      <c r="B31" s="7" t="inlineStr">
        <is>
          <t>PV of UFCF</t>
        </is>
      </c>
      <c r="C31" s="8" t="n">
        <v>3.71</v>
      </c>
      <c r="D31" s="8" t="n">
        <v>6.72</v>
      </c>
      <c r="E31" s="8" t="n">
        <v>8.210000000000001</v>
      </c>
      <c r="F31" s="8" t="n">
        <v>9.17</v>
      </c>
      <c r="G31" s="8" t="n">
        <v>9.9</v>
      </c>
    </row>
    <row r="33">
      <c r="B33" s="33" t="inlineStr">
        <is>
          <t>TERMINAL VALUE &amp; EQUITY BRIDGE</t>
        </is>
      </c>
    </row>
    <row r="34">
      <c r="B34" s="5" t="inlineStr">
        <is>
          <t>Terminal Growth Rate (TGR)</t>
        </is>
      </c>
      <c r="C34" s="41" t="n">
        <v>0.025</v>
      </c>
    </row>
    <row r="35">
      <c r="B35" s="5" t="inlineStr">
        <is>
          <t>Terminal Year UFCF ($B)</t>
        </is>
      </c>
      <c r="C35" s="8" t="n">
        <v>17.2</v>
      </c>
    </row>
    <row r="36">
      <c r="B36" s="5" t="inlineStr">
        <is>
          <t>Terminal FCF (TY × (1+g))</t>
        </is>
      </c>
      <c r="C36" s="8" t="n">
        <v>17.63</v>
      </c>
    </row>
    <row r="37">
      <c r="B37" s="5" t="inlineStr">
        <is>
          <t>Terminal Value (TV = TY FCF/(WACC–g))</t>
        </is>
      </c>
      <c r="C37" s="8" t="n">
        <v>194.1</v>
      </c>
    </row>
    <row r="38">
      <c r="B38" s="5" t="inlineStr">
        <is>
          <t>PV of Terminal Value</t>
        </is>
      </c>
      <c r="C38" s="8" t="n">
        <v>111.8</v>
      </c>
    </row>
    <row r="39">
      <c r="B39" s="5" t="inlineStr">
        <is>
          <t>PV of Projected FCFs</t>
        </is>
      </c>
      <c r="C39" s="8" t="n">
        <v>37.7</v>
      </c>
    </row>
    <row r="40">
      <c r="B40" s="7" t="inlineStr">
        <is>
          <t>Total Enterprise Value</t>
        </is>
      </c>
      <c r="C40" s="46" t="n">
        <v>149.5</v>
      </c>
    </row>
    <row r="41">
      <c r="B41" s="5" t="inlineStr">
        <is>
          <t>(-) Net Debt</t>
        </is>
      </c>
      <c r="C41" s="35" t="n">
        <v>23</v>
      </c>
    </row>
    <row r="42">
      <c r="B42" s="5" t="inlineStr">
        <is>
          <t>Equity Value</t>
        </is>
      </c>
      <c r="C42" s="8" t="n">
        <v>126.5</v>
      </c>
    </row>
    <row r="43">
      <c r="B43" s="5" t="inlineStr">
        <is>
          <t>Diluted Shares (B)</t>
        </is>
      </c>
      <c r="C43" s="47" t="n">
        <v>5.025</v>
      </c>
    </row>
    <row r="44">
      <c r="B44" s="7" t="inlineStr">
        <is>
          <t>Implied Share Price (DCF Base)</t>
        </is>
      </c>
      <c r="C44" s="48" t="n">
        <v>25</v>
      </c>
    </row>
    <row r="45">
      <c r="B45" s="5" t="inlineStr">
        <is>
          <t>TV as % of Total EV</t>
        </is>
      </c>
      <c r="C45" s="10" t="n">
        <v>0.747</v>
      </c>
    </row>
    <row r="46">
      <c r="B46" s="5" t="inlineStr">
        <is>
          <t>Current Price</t>
        </is>
      </c>
      <c r="C46" s="11" t="n">
        <v>120.29</v>
      </c>
    </row>
    <row r="47">
      <c r="B47" s="7" t="inlineStr">
        <is>
          <t>Implied Upside / (Downside)</t>
        </is>
      </c>
      <c r="C47" s="10" t="n">
        <v>-0.792</v>
      </c>
    </row>
    <row r="50">
      <c r="B50" s="33" t="inlineStr">
        <is>
          <t>SENSITIVITY 1: WACC vs Terminal Growth Rate → Implied Share Price ($)</t>
        </is>
      </c>
    </row>
    <row r="51">
      <c r="B51" s="49" t="inlineStr">
        <is>
          <t>WACC \ TGR</t>
        </is>
      </c>
      <c r="C51" s="50" t="n">
        <v>0.01</v>
      </c>
      <c r="D51" s="50" t="n">
        <v>0.015</v>
      </c>
      <c r="E51" s="50" t="n">
        <v>0.02</v>
      </c>
      <c r="F51" s="50" t="n">
        <v>0.025</v>
      </c>
      <c r="G51" s="50" t="n">
        <v>0.03</v>
      </c>
      <c r="H51" s="50" t="n">
        <v>0.035</v>
      </c>
    </row>
    <row r="52">
      <c r="B52" s="51" t="n">
        <v>0.095</v>
      </c>
      <c r="C52" s="52" t="n">
        <v>29.3</v>
      </c>
      <c r="D52" s="52" t="n">
        <v>31</v>
      </c>
      <c r="E52" s="52" t="n">
        <v>33</v>
      </c>
      <c r="F52" s="52" t="n">
        <v>35.3</v>
      </c>
      <c r="G52" s="52" t="n">
        <v>37.9</v>
      </c>
      <c r="H52" s="52" t="n">
        <v>41</v>
      </c>
    </row>
    <row r="53">
      <c r="B53" s="51" t="n">
        <v>0.105</v>
      </c>
      <c r="C53" s="52" t="n">
        <v>25.3</v>
      </c>
      <c r="D53" s="52" t="n">
        <v>26.6</v>
      </c>
      <c r="E53" s="52" t="n">
        <v>28.1</v>
      </c>
      <c r="F53" s="52" t="n">
        <v>29.8</v>
      </c>
      <c r="G53" s="52" t="n">
        <v>31.7</v>
      </c>
      <c r="H53" s="52" t="n">
        <v>33.9</v>
      </c>
    </row>
    <row r="54">
      <c r="B54" s="51" t="n">
        <v>0.115</v>
      </c>
      <c r="C54" s="52" t="n">
        <v>22.1</v>
      </c>
      <c r="D54" s="52" t="n">
        <v>23.1</v>
      </c>
      <c r="E54" s="52" t="n">
        <v>24.3</v>
      </c>
      <c r="F54" s="52" t="n">
        <v>25.6</v>
      </c>
      <c r="G54" s="52" t="n">
        <v>27</v>
      </c>
      <c r="H54" s="52" t="n">
        <v>28.7</v>
      </c>
    </row>
    <row r="55">
      <c r="B55" s="51" t="n">
        <v>0.1166</v>
      </c>
      <c r="C55" s="52" t="n">
        <v>21.6</v>
      </c>
      <c r="D55" s="52" t="n">
        <v>22.6</v>
      </c>
      <c r="E55" s="52" t="n">
        <v>23.8</v>
      </c>
      <c r="F55" s="52" t="n">
        <v>25</v>
      </c>
      <c r="G55" s="52" t="n">
        <v>26.4</v>
      </c>
      <c r="H55" s="52" t="n">
        <v>27.9</v>
      </c>
    </row>
    <row r="56">
      <c r="B56" s="51" t="n">
        <v>0.125</v>
      </c>
      <c r="C56" s="52" t="n">
        <v>19.4</v>
      </c>
      <c r="D56" s="52" t="n">
        <v>20.3</v>
      </c>
      <c r="E56" s="52" t="n">
        <v>21.2</v>
      </c>
      <c r="F56" s="52" t="n">
        <v>22.2</v>
      </c>
      <c r="G56" s="52" t="n">
        <v>23.3</v>
      </c>
      <c r="H56" s="52" t="n">
        <v>24.6</v>
      </c>
    </row>
    <row r="57">
      <c r="B57" s="51" t="n">
        <v>0.135</v>
      </c>
      <c r="C57" s="52" t="n">
        <v>17.2</v>
      </c>
      <c r="D57" s="52" t="n">
        <v>17.9</v>
      </c>
      <c r="E57" s="52" t="n">
        <v>18.6</v>
      </c>
      <c r="F57" s="52" t="n">
        <v>19.5</v>
      </c>
      <c r="G57" s="52" t="n">
        <v>20.4</v>
      </c>
      <c r="H57" s="52" t="n">
        <v>21.3</v>
      </c>
    </row>
    <row r="58">
      <c r="B58" s="51" t="n">
        <v>0.145</v>
      </c>
      <c r="C58" s="52" t="n">
        <v>15.3</v>
      </c>
      <c r="D58" s="52" t="n">
        <v>15.9</v>
      </c>
      <c r="E58" s="52" t="n">
        <v>16.5</v>
      </c>
      <c r="F58" s="52" t="n">
        <v>17.2</v>
      </c>
      <c r="G58" s="52" t="n">
        <v>17.9</v>
      </c>
      <c r="H58" s="52" t="n">
        <v>18.7</v>
      </c>
    </row>
    <row r="60">
      <c r="B60" s="33" t="inlineStr">
        <is>
          <t>SENSITIVITY 2: Revenue Growth vs EBITDA Margin → Implied Share Price ($)</t>
        </is>
      </c>
    </row>
    <row r="61">
      <c r="B61" s="49" t="inlineStr">
        <is>
          <t>RevGrowth \ EBITDA%</t>
        </is>
      </c>
      <c r="C61" s="50" t="n">
        <v>0.3</v>
      </c>
      <c r="D61" s="50" t="n">
        <v>0.33</v>
      </c>
      <c r="E61" s="50" t="n">
        <v>0.36</v>
      </c>
      <c r="F61" s="50" t="n">
        <v>0.39</v>
      </c>
      <c r="G61" s="50" t="n">
        <v>0.42</v>
      </c>
    </row>
    <row r="62">
      <c r="B62" s="51" t="n">
        <v>0.05</v>
      </c>
      <c r="C62" s="52" t="n">
        <v>4.3</v>
      </c>
      <c r="D62" s="52" t="n">
        <v>7.8</v>
      </c>
      <c r="E62" s="52" t="n">
        <v>11.2</v>
      </c>
      <c r="F62" s="52" t="n">
        <v>14.7</v>
      </c>
      <c r="G62" s="52" t="n">
        <v>18.1</v>
      </c>
    </row>
    <row r="63">
      <c r="B63" s="51" t="n">
        <v>0.08</v>
      </c>
      <c r="C63" s="52" t="n">
        <v>5.5</v>
      </c>
      <c r="D63" s="52" t="n">
        <v>9.4</v>
      </c>
      <c r="E63" s="52" t="n">
        <v>13.3</v>
      </c>
      <c r="F63" s="52" t="n">
        <v>17.2</v>
      </c>
      <c r="G63" s="52" t="n">
        <v>21</v>
      </c>
    </row>
    <row r="64">
      <c r="B64" s="51" t="n">
        <v>0.11</v>
      </c>
      <c r="C64" s="52" t="n">
        <v>6.8</v>
      </c>
      <c r="D64" s="52" t="n">
        <v>11.2</v>
      </c>
      <c r="E64" s="52" t="n">
        <v>15.5</v>
      </c>
      <c r="F64" s="52" t="n">
        <v>19.9</v>
      </c>
      <c r="G64" s="52" t="n">
        <v>24.3</v>
      </c>
    </row>
    <row r="65">
      <c r="B65" s="51" t="n">
        <v>0.14</v>
      </c>
      <c r="C65" s="52" t="n">
        <v>8.199999999999999</v>
      </c>
      <c r="D65" s="52" t="n">
        <v>13.1</v>
      </c>
      <c r="E65" s="52" t="n">
        <v>18</v>
      </c>
      <c r="F65" s="52" t="n">
        <v>23</v>
      </c>
      <c r="G65" s="52" t="n">
        <v>27.9</v>
      </c>
    </row>
    <row r="66">
      <c r="B66" s="51" t="n">
        <v>0.17</v>
      </c>
      <c r="C66" s="52" t="n">
        <v>9.699999999999999</v>
      </c>
      <c r="D66" s="52" t="n">
        <v>15.3</v>
      </c>
      <c r="E66" s="52" t="n">
        <v>20.8</v>
      </c>
      <c r="F66" s="52" t="n">
        <v>26.3</v>
      </c>
      <c r="G66" s="52" t="n">
        <v>31.8</v>
      </c>
    </row>
    <row r="69">
      <c r="B69" s="31" t="inlineStr">
        <is>
          <t>Source: Proprietary model. Risk-free rate from US Treasury (May 2026). ERP from Damodaran. Beta estimated from 5Y monthly regression vs S&amp;P 500. Generated 2026-05-13.</t>
        </is>
      </c>
    </row>
  </sheetData>
  <mergeCells count="6">
    <mergeCell ref="B2:M2"/>
    <mergeCell ref="B17:H17"/>
    <mergeCell ref="B50:J50"/>
    <mergeCell ref="B4:G4"/>
    <mergeCell ref="B60:I60"/>
    <mergeCell ref="B33:H33"/>
  </mergeCells>
  <conditionalFormatting sqref="C52:C58">
    <cfRule type="colorScale" priority="1">
      <colorScale>
        <cfvo type="min"/>
        <cfvo type="max"/>
        <color rgb="00FFC7CE"/>
        <color rgb="00C6EFCE"/>
      </colorScale>
    </cfRule>
  </conditionalFormatting>
  <conditionalFormatting sqref="D52:D58">
    <cfRule type="colorScale" priority="2">
      <colorScale>
        <cfvo type="min"/>
        <cfvo type="max"/>
        <color rgb="00FFC7CE"/>
        <color rgb="00C6EFCE"/>
      </colorScale>
    </cfRule>
  </conditionalFormatting>
  <conditionalFormatting sqref="E52:E58">
    <cfRule type="colorScale" priority="3">
      <colorScale>
        <cfvo type="min"/>
        <cfvo type="max"/>
        <color rgb="00FFC7CE"/>
        <color rgb="00C6EFCE"/>
      </colorScale>
    </cfRule>
  </conditionalFormatting>
  <conditionalFormatting sqref="F52:F58">
    <cfRule type="colorScale" priority="4">
      <colorScale>
        <cfvo type="min"/>
        <cfvo type="max"/>
        <color rgb="00FFC7CE"/>
        <color rgb="00C6EFCE"/>
      </colorScale>
    </cfRule>
  </conditionalFormatting>
  <conditionalFormatting sqref="G52:G58">
    <cfRule type="colorScale" priority="5">
      <colorScale>
        <cfvo type="min"/>
        <cfvo type="max"/>
        <color rgb="00FFC7CE"/>
        <color rgb="00C6EFCE"/>
      </colorScale>
    </cfRule>
  </conditionalFormatting>
  <conditionalFormatting sqref="H52:H58">
    <cfRule type="colorScale" priority="6">
      <colorScale>
        <cfvo type="min"/>
        <cfvo type="max"/>
        <color rgb="00FFC7CE"/>
        <color rgb="00C6EFCE"/>
      </colorScale>
    </cfRule>
  </conditionalFormatting>
  <conditionalFormatting sqref="C62:C66">
    <cfRule type="colorScale" priority="7">
      <colorScale>
        <cfvo type="min"/>
        <cfvo type="max"/>
        <color rgb="00FFC7CE"/>
        <color rgb="00C6EFCE"/>
      </colorScale>
    </cfRule>
  </conditionalFormatting>
  <conditionalFormatting sqref="D62:D66">
    <cfRule type="colorScale" priority="8">
      <colorScale>
        <cfvo type="min"/>
        <cfvo type="max"/>
        <color rgb="00FFC7CE"/>
        <color rgb="00C6EFCE"/>
      </colorScale>
    </cfRule>
  </conditionalFormatting>
  <conditionalFormatting sqref="E62:E66">
    <cfRule type="colorScale" priority="9">
      <colorScale>
        <cfvo type="min"/>
        <cfvo type="max"/>
        <color rgb="00FFC7CE"/>
        <color rgb="00C6EFCE"/>
      </colorScale>
    </cfRule>
  </conditionalFormatting>
  <conditionalFormatting sqref="F62:F66">
    <cfRule type="colorScale" priority="10">
      <colorScale>
        <cfvo type="min"/>
        <cfvo type="max"/>
        <color rgb="00FFC7CE"/>
        <color rgb="00C6EFCE"/>
      </colorScale>
    </cfRule>
  </conditionalFormatting>
  <conditionalFormatting sqref="G62:G66">
    <cfRule type="colorScale" priority="11">
      <colorScale>
        <cfvo type="min"/>
        <cfvo type="max"/>
        <color rgb="00FFC7CE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5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45" customWidth="1" min="4" max="4"/>
    <col width="16" customWidth="1" min="5" max="5"/>
    <col width="16" customWidth="1" min="6" max="6"/>
    <col width="16" customWidth="1" min="7" max="7"/>
    <col width="32" customWidth="1" min="8" max="8"/>
    <col width="22" customWidth="1" min="9" max="9"/>
    <col width="18" customWidth="1" min="10" max="10"/>
  </cols>
  <sheetData>
    <row r="2" ht="26" customHeight="1">
      <c r="B2" s="1" t="inlineStr">
        <is>
          <t>INTEL CORPORATION — INVESTMENT THESIS TRACKER</t>
        </is>
      </c>
    </row>
    <row r="4">
      <c r="B4" s="33" t="inlineStr">
        <is>
          <t>INVESTMENT THESIS STATEMENT</t>
        </is>
      </c>
    </row>
    <row r="5" ht="75" customHeight="1">
      <c r="B5" s="53" t="inlineStr">
        <is>
          <t>Intel is executing the most complex corporate turnaround in semiconductor history, simultaneously defending its legacy x86 CPU franchise while attempting to build a world-class US-based foundry. The 18A process node — featuring RibbonFET and PowerVia — represents a genuine technology leap that could restore Intel's process leadership, but execution risk is binary: success could unlock $20B+ in external foundry revenue by 2028-30; failure would accelerate margin compression and market share losses. Under CEO Lip-Bu Tan, the company has demonstrated improved execution in Q1 2026 (+7% YoY revenue, DCAI +22%) but the stock at $120 trades at a material premium to fundamental DCF value ($25 base case), implying a SELL rating with a $87 price target.</t>
        </is>
      </c>
    </row>
    <row r="6"/>
    <row r="7"/>
    <row r="9">
      <c r="B9" s="33" t="inlineStr">
        <is>
          <t>THESIS PILLARS (BULL)</t>
        </is>
      </c>
    </row>
    <row r="10">
      <c r="B10" s="6" t="inlineStr">
        <is>
          <t>#</t>
        </is>
      </c>
      <c r="C10" s="6" t="inlineStr">
        <is>
          <t>Pillar</t>
        </is>
      </c>
      <c r="D10" s="6" t="inlineStr">
        <is>
          <t>Thesis Statement</t>
        </is>
      </c>
      <c r="E10" s="6" t="inlineStr">
        <is>
          <t>Current Status</t>
        </is>
      </c>
      <c r="F10" s="6" t="inlineStr">
        <is>
          <t>Key Metric to Watch</t>
        </is>
      </c>
      <c r="G10" s="6" t="inlineStr">
        <is>
          <t>Status</t>
        </is>
      </c>
    </row>
    <row r="11" ht="55" customHeight="1">
      <c r="B11" s="54" t="inlineStr">
        <is>
          <t>P1</t>
        </is>
      </c>
      <c r="C11" s="7" t="inlineStr">
        <is>
          <t>18A Node Execution</t>
        </is>
      </c>
      <c r="D11" s="55" t="inlineStr">
        <is>
          <t>18A enters high-volume manufacturing with acceptable yields (≥60%), validating Intel as a world-class foundry. AWS/MSFT commitments ($15B+) convert to wafer starts.</t>
        </is>
      </c>
      <c r="E11" s="55" t="inlineStr">
        <is>
          <t>18A entered risk production in Q1 2026; Panther Lake first 18A commercial product launched. Volume production H2 2026.</t>
        </is>
      </c>
      <c r="F11" s="55" t="inlineStr">
        <is>
          <t>18A yield rate vs. 60% threshold; Intel Foundry revenue run-rate; customer tape-outs on 18A</t>
        </is>
      </c>
      <c r="G11" s="56" t="inlineStr">
        <is>
          <t>🟡 In Progress</t>
        </is>
      </c>
    </row>
    <row r="12" ht="55" customHeight="1">
      <c r="B12" s="54" t="inlineStr">
        <is>
          <t>P2</t>
        </is>
      </c>
      <c r="C12" s="7" t="inlineStr">
        <is>
          <t>DCAI Market Share Recovery</t>
        </is>
      </c>
      <c r="D12" s="55" t="inlineStr">
        <is>
          <t>Xeon 6 Granite Rapids + Sierra Forest regain data center CPU share lost to AMD EPYC. AI PC refresh cycle sustains CCG revenue above $33B/yr.</t>
        </is>
      </c>
      <c r="E12" s="55" t="inlineStr">
        <is>
          <t>Q1 2026 DCAI revenue $5.1B (+22% YoY). Server CPU demand exceeds supply. AI PC shipments +16% QoQ.</t>
        </is>
      </c>
      <c r="F12" s="55" t="inlineStr">
        <is>
          <t>DCAI revenue YoY growth; Xeon 6 server unit shipments; AMD EPYC market share vs Intel</t>
        </is>
      </c>
      <c r="G12" s="57" t="inlineStr">
        <is>
          <t>🟢 On Track</t>
        </is>
      </c>
    </row>
    <row r="13" ht="55" customHeight="1">
      <c r="B13" s="54" t="inlineStr">
        <is>
          <t>P3</t>
        </is>
      </c>
      <c r="C13" s="7" t="inlineStr">
        <is>
          <t>Intel Foundry Profitability Path</t>
        </is>
      </c>
      <c r="D13" s="55" t="inlineStr">
        <is>
          <t>Intel Foundry segment moves from -$2.5B operating loss (Q4 2025) toward breakeven by 2028 as utilization rises and 18A cost per wafer declines.</t>
        </is>
      </c>
      <c r="E13" s="55" t="inlineStr">
        <is>
          <t>Q4 2025 Foundry op loss: -$2.5B. Q1 2026 Foundry revenue +16% YoY. Long road to profitability.</t>
        </is>
      </c>
      <c r="F13" s="55" t="inlineStr">
        <is>
          <t>Intel Foundry operating margin; cost per wafer on 18A; external customer wafer revenue</t>
        </is>
      </c>
      <c r="G13" s="58" t="inlineStr">
        <is>
          <t>🔴 Behind</t>
        </is>
      </c>
    </row>
    <row r="14" ht="55" customHeight="1">
      <c r="B14" s="54" t="inlineStr">
        <is>
          <t>P4</t>
        </is>
      </c>
      <c r="C14" s="7" t="inlineStr">
        <is>
          <t>Cost Structure Rationalization</t>
        </is>
      </c>
      <c r="D14" s="55" t="inlineStr">
        <is>
          <t>OpEx target of ≤$17B (non-GAAP) and CapEx discipline ($14-18B/yr) delivers FCF positivity by FY2027.</t>
        </is>
      </c>
      <c r="E14" s="55" t="inlineStr">
        <is>
          <t>Non-GAAP OpEx FY2025: ~$17B target achieved. CapEx reduced to $14.6B from $25.8B peak. FCF still negative.</t>
        </is>
      </c>
      <c r="F14" s="55" t="inlineStr">
        <is>
          <t>Non-GAAP operating expense ($); CapEx/Revenue ratio; FCF margin; headcount trend</t>
        </is>
      </c>
      <c r="G14" s="56" t="inlineStr">
        <is>
          <t>🟡 In Progress</t>
        </is>
      </c>
    </row>
    <row r="15" ht="55" customHeight="1">
      <c r="B15" s="54" t="inlineStr">
        <is>
          <t>P5</t>
        </is>
      </c>
      <c r="C15" s="7" t="inlineStr">
        <is>
          <t>CHIPS Act &amp; Government Support</t>
        </is>
      </c>
      <c r="D15" s="55" t="inlineStr">
        <is>
          <t>$7.86B CHIPS Act direct funding + $3B Secure Enclave + $11B loans offset fab construction costs and reduce capital intensity risk.</t>
        </is>
      </c>
      <c r="E15" s="55" t="inlineStr">
        <is>
          <t>CHIPS Act funding finalized Nov 2024 ($7.86B). Secure Enclave $3B awarded Sep 2024. AWS co-investment live.</t>
        </is>
      </c>
      <c r="F15" s="55" t="inlineStr">
        <is>
          <t>CHIPS Act disbursement milestones; DoD program revenue; total government-backed capex offset</t>
        </is>
      </c>
      <c r="G15" s="57" t="inlineStr">
        <is>
          <t>🟢 On Track</t>
        </is>
      </c>
    </row>
    <row r="17">
      <c r="B17" s="33" t="inlineStr">
        <is>
          <t>KEY RISKS</t>
        </is>
      </c>
    </row>
    <row r="18">
      <c r="B18" s="59" t="inlineStr">
        <is>
          <t>#</t>
        </is>
      </c>
      <c r="C18" s="59" t="inlineStr">
        <is>
          <t>Risk</t>
        </is>
      </c>
      <c r="D18" s="59" t="inlineStr">
        <is>
          <t>Description</t>
        </is>
      </c>
      <c r="E18" s="59" t="inlineStr">
        <is>
          <t>Probability</t>
        </is>
      </c>
      <c r="F18" s="59" t="inlineStr">
        <is>
          <t>Impact</t>
        </is>
      </c>
      <c r="G18" s="59" t="inlineStr">
        <is>
          <t>Severity</t>
        </is>
      </c>
      <c r="H18" s="59" t="inlineStr">
        <is>
          <t>Mitigant</t>
        </is>
      </c>
    </row>
    <row r="19" ht="55" customHeight="1">
      <c r="B19" s="54" t="inlineStr">
        <is>
          <t>R1</t>
        </is>
      </c>
      <c r="C19" s="7" t="inlineStr">
        <is>
          <t>18A Yield / Node Execution Failure</t>
        </is>
      </c>
      <c r="D19" s="55" t="inlineStr">
        <is>
          <t>18A yield rates remain below economic threshold (60%+), delaying or cancelling external foundry ramp. Historically: Intel's 10nm delay cost 3 years and ~$10B.</t>
        </is>
      </c>
      <c r="E19" s="9" t="inlineStr">
        <is>
          <t>Medium (30%)</t>
        </is>
      </c>
      <c r="F19" s="9" t="inlineStr">
        <is>
          <t>Very High</t>
        </is>
      </c>
      <c r="G19" s="58" t="inlineStr">
        <is>
          <t>🔴 Critical</t>
        </is>
      </c>
      <c r="H19" s="55" t="inlineStr">
        <is>
          <t>AWS/MSFT signed commitments provide revenue floor. Panther Lake already in production validates process.</t>
        </is>
      </c>
    </row>
    <row r="20" ht="55" customHeight="1">
      <c r="B20" s="54" t="inlineStr">
        <is>
          <t>R2</t>
        </is>
      </c>
      <c r="C20" s="7" t="inlineStr">
        <is>
          <t>AMD/ARM Market Share Acceleration</t>
        </is>
      </c>
      <c r="D20" s="55" t="inlineStr">
        <is>
          <t>AMD EPYC continues taking server CPU share; ARM-based custom silicon (Graviton, Ampere) displaces x86 in data center. Xeon 6 fails to arrest decline.</t>
        </is>
      </c>
      <c r="E20" s="9" t="inlineStr">
        <is>
          <t>Medium-High (40%)</t>
        </is>
      </c>
      <c r="F20" s="9" t="inlineStr">
        <is>
          <t>High</t>
        </is>
      </c>
      <c r="G20" s="58" t="inlineStr">
        <is>
          <t>🔴 High</t>
        </is>
      </c>
      <c r="H20" s="55" t="inlineStr">
        <is>
          <t>Intel holds ~64% PC CPU share, ~65% server units. New Xeon 6 competitive on TCO. AI inference CPU demand validates x86 relevance.</t>
        </is>
      </c>
    </row>
    <row r="21" ht="55" customHeight="1">
      <c r="B21" s="54" t="inlineStr">
        <is>
          <t>R3</t>
        </is>
      </c>
      <c r="C21" s="7" t="inlineStr">
        <is>
          <t>Intel Foundry Losses Persist Beyond 2028</t>
        </is>
      </c>
      <c r="D21" s="55" t="inlineStr">
        <is>
          <t>External foundry revenue fails to scale; Foundry segment continues to generate $2-3B/yr operating losses, weighting EBITDA margins and preventing FCF positivity.</t>
        </is>
      </c>
      <c r="E21" s="9" t="inlineStr">
        <is>
          <t>Medium-High (40%)</t>
        </is>
      </c>
      <c r="F21" s="9" t="inlineStr">
        <is>
          <t>High</t>
        </is>
      </c>
      <c r="G21" s="58" t="inlineStr">
        <is>
          <t>🔴 High</t>
        </is>
      </c>
      <c r="H21" s="55" t="inlineStr">
        <is>
          <t>IFS has signed $15B+ lifetime commits. CHIPS Act funds defray build costs. Management has option to limit capex if ramp fails.</t>
        </is>
      </c>
    </row>
    <row r="22" ht="55" customHeight="1">
      <c r="B22" s="54" t="inlineStr">
        <is>
          <t>R4</t>
        </is>
      </c>
      <c r="C22" s="7" t="inlineStr">
        <is>
          <t>Capital Allocation / Balance Sheet Stress</t>
        </is>
      </c>
      <c r="D22" s="55" t="inlineStr">
        <is>
          <t>High capex ($14-18B/yr) + negative FCF + $47B gross debt could strain balance sheet if revenue recovery is delayed or macro deteriorates.</t>
        </is>
      </c>
      <c r="E22" s="9" t="inlineStr">
        <is>
          <t>Low-Medium (25%)</t>
        </is>
      </c>
      <c r="F22" s="9" t="inlineStr">
        <is>
          <t>Medium</t>
        </is>
      </c>
      <c r="G22" s="56" t="inlineStr">
        <is>
          <t>🟡 Moderate</t>
        </is>
      </c>
      <c r="H22" s="55" t="inlineStr">
        <is>
          <t>D/E ratio 0.40x (manageable). $37B+ cash on balance sheet. CHIPS Act loans available as backstop.</t>
        </is>
      </c>
    </row>
    <row r="23" ht="55" customHeight="1">
      <c r="B23" s="54" t="inlineStr">
        <is>
          <t>R5</t>
        </is>
      </c>
      <c r="C23" s="7" t="inlineStr">
        <is>
          <t>AI Accelerator Irrelevance (Gaudi)</t>
        </is>
      </c>
      <c r="D23" s="55" t="inlineStr">
        <is>
          <t>Intel's Gaudi AI accelerator family fails to gain meaningful share against NVIDIA H100/B200 and AMD MI300X, leaving Intel excluded from the fastest-growing compute category.</t>
        </is>
      </c>
      <c r="E23" s="9" t="inlineStr">
        <is>
          <t>High (55%)</t>
        </is>
      </c>
      <c r="F23" s="9" t="inlineStr">
        <is>
          <t>Medium</t>
        </is>
      </c>
      <c r="G23" s="56" t="inlineStr">
        <is>
          <t>🟡 Moderate</t>
        </is>
      </c>
      <c r="H23" s="55" t="inlineStr">
        <is>
          <t>CPU inference trend (agentic AI) benefits Xeon even without GPU wins. Foundry strategy is not GPU-dependent.</t>
        </is>
      </c>
    </row>
    <row r="24" ht="55" customHeight="1">
      <c r="B24" s="54" t="inlineStr">
        <is>
          <t>R6</t>
        </is>
      </c>
      <c r="C24" s="7" t="inlineStr">
        <is>
          <t>Geopolitical / China Revenue Risk</t>
        </is>
      </c>
      <c r="D24" s="55" t="inlineStr">
        <is>
          <t>Escalating US-China restrictions reduce Intel's China server/PC revenue (~25% of total historically). Export control expansion could remove significant revenue base.</t>
        </is>
      </c>
      <c r="E24" s="9" t="inlineStr">
        <is>
          <t>Medium (35%)</t>
        </is>
      </c>
      <c r="F24" s="9" t="inlineStr">
        <is>
          <t>Medium-High</t>
        </is>
      </c>
      <c r="G24" s="56" t="inlineStr">
        <is>
          <t>🟡 Moderate</t>
        </is>
      </c>
      <c r="H24" s="55" t="inlineStr">
        <is>
          <t>Intel has diversified supply chain. Government contracts partially offset. US reshoring increases domestic demand.</t>
        </is>
      </c>
    </row>
    <row r="26">
      <c r="B26" s="33" t="inlineStr">
        <is>
          <t>KEY CATALYSTS &amp; TIMELINE</t>
        </is>
      </c>
    </row>
    <row r="27">
      <c r="B27" s="6" t="inlineStr">
        <is>
          <t>Timeline</t>
        </is>
      </c>
      <c r="C27" s="6" t="inlineStr">
        <is>
          <t>Catalyst</t>
        </is>
      </c>
      <c r="D27" s="6" t="inlineStr">
        <is>
          <t>Description</t>
        </is>
      </c>
      <c r="E27" s="6" t="inlineStr">
        <is>
          <t>Bull Impact</t>
        </is>
      </c>
      <c r="F27" s="6" t="inlineStr">
        <is>
          <t>Bear Impact</t>
        </is>
      </c>
    </row>
    <row r="28" ht="42" customHeight="1">
      <c r="B28" s="60" t="inlineStr">
        <is>
          <t>0–3 months</t>
        </is>
      </c>
      <c r="C28" s="7" t="inlineStr">
        <is>
          <t>Q2 2026 Earnings (July 2026)</t>
        </is>
      </c>
      <c r="D28" s="55" t="inlineStr">
        <is>
          <t>Revenue guided $13.8-14.8B; DCAI and Foundry trajectory key. Beat → confirms momentum.</t>
        </is>
      </c>
      <c r="E28" s="61" t="inlineStr">
        <is>
          <t>+15-20% upside</t>
        </is>
      </c>
      <c r="F28" s="62" t="inlineStr">
        <is>
          <t>-10-15% downside</t>
        </is>
      </c>
    </row>
    <row r="29" ht="42" customHeight="1">
      <c r="B29" s="60" t="inlineStr">
        <is>
          <t>0–6 months</t>
        </is>
      </c>
      <c r="C29" s="7" t="inlineStr">
        <is>
          <t>18A High-Volume Manufacturing Ramp</t>
        </is>
      </c>
      <c r="D29" s="55" t="inlineStr">
        <is>
          <t>18A cost per wafer declining, yield targets met. AWS/MSFT wafer starts confirmed.</t>
        </is>
      </c>
      <c r="E29" s="61" t="inlineStr">
        <is>
          <t>Foundry re-rating, +25-40% upside</t>
        </is>
      </c>
      <c r="F29" s="62" t="inlineStr">
        <is>
          <t>Node delay → -20-30% downside</t>
        </is>
      </c>
    </row>
    <row r="30" ht="42" customHeight="1">
      <c r="B30" s="60" t="inlineStr">
        <is>
          <t>0–6 months</t>
        </is>
      </c>
      <c r="C30" s="7" t="inlineStr">
        <is>
          <t>Intel Foundry New Customer Wins</t>
        </is>
      </c>
      <c r="D30" s="55" t="inlineStr">
        <is>
          <t>Additional tier-1 external fab customers announced on 18A or 14A.</t>
        </is>
      </c>
      <c r="E30" s="61" t="inlineStr">
        <is>
          <t>+15-25% foundry re-rating</t>
        </is>
      </c>
      <c r="F30" s="62" t="inlineStr">
        <is>
          <t>No new wins reinforces bear case</t>
        </is>
      </c>
    </row>
    <row r="31" ht="42" customHeight="1">
      <c r="B31" s="60" t="inlineStr">
        <is>
          <t>6–12 months</t>
        </is>
      </c>
      <c r="C31" s="7" t="inlineStr">
        <is>
          <t>DCAI Market Share Data (Mercury Q2-Q3 2026)</t>
        </is>
      </c>
      <c r="D31" s="55" t="inlineStr">
        <is>
          <t>Quarterly server CPU market share data confirms Intel's gains vs AMD EPYC.</t>
        </is>
      </c>
      <c r="E31" s="61" t="inlineStr">
        <is>
          <t>+10-15% if share stabilizes</t>
        </is>
      </c>
      <c r="F31" s="62" t="inlineStr">
        <is>
          <t>-10% if AMD accelerating</t>
        </is>
      </c>
    </row>
    <row r="32" ht="42" customHeight="1">
      <c r="B32" s="60" t="inlineStr">
        <is>
          <t>6–18 months</t>
        </is>
      </c>
      <c r="C32" s="7" t="inlineStr">
        <is>
          <t>Panther Lake + Clearwater Forest Ramp</t>
        </is>
      </c>
      <c r="D32" s="55" t="inlineStr">
        <is>
          <t>First 18A products at scale proving process yield and customer traction.</t>
        </is>
      </c>
      <c r="E32" s="61" t="inlineStr">
        <is>
          <t>Process validation → foundry re-rate</t>
        </is>
      </c>
      <c r="F32" s="62" t="inlineStr">
        <is>
          <t>Yield problems resurface</t>
        </is>
      </c>
    </row>
    <row r="33" ht="42" customHeight="1">
      <c r="B33" s="60" t="inlineStr">
        <is>
          <t>12–24 months</t>
        </is>
      </c>
      <c r="C33" s="7" t="inlineStr">
        <is>
          <t>FCF Positivity Milestone</t>
        </is>
      </c>
      <c r="D33" s="55" t="inlineStr">
        <is>
          <t>FY2027 FCF turns positive ($2.4B consensus), validating cost restructuring.</t>
        </is>
      </c>
      <c r="E33" s="61" t="inlineStr">
        <is>
          <t>Balance sheet confidence, dividend resumption</t>
        </is>
      </c>
      <c r="F33" s="62" t="inlineStr">
        <is>
          <t>FCF miss → balance sheet concern</t>
        </is>
      </c>
    </row>
    <row r="34" ht="42" customHeight="1">
      <c r="B34" s="60" t="inlineStr">
        <is>
          <t>12–24 months</t>
        </is>
      </c>
      <c r="C34" s="7" t="inlineStr">
        <is>
          <t>14A PDK Customer Adoption</t>
        </is>
      </c>
      <c r="D34" s="55" t="inlineStr">
        <is>
          <t>Multiple customers commit to 14A test chips, confirming Intel Foundry roadmap continuity.</t>
        </is>
      </c>
      <c r="E34" s="61" t="inlineStr">
        <is>
          <t>2029-30 Foundry optionality priced in</t>
        </is>
      </c>
      <c r="F34" s="62" t="inlineStr">
        <is>
          <t>Foundry loses to TSMC N2</t>
        </is>
      </c>
    </row>
    <row r="36">
      <c r="B36" s="33" t="inlineStr">
        <is>
          <t>KEY PERFORMANCE INDICATORS (KPIs) TO MONITOR</t>
        </is>
      </c>
    </row>
    <row r="37">
      <c r="B37" s="6" t="inlineStr">
        <is>
          <t>KPI</t>
        </is>
      </c>
      <c r="C37" s="6" t="inlineStr">
        <is>
          <t>Metric</t>
        </is>
      </c>
      <c r="D37" s="6" t="inlineStr">
        <is>
          <t>FY2025 Actual</t>
        </is>
      </c>
      <c r="E37" s="6" t="inlineStr">
        <is>
          <t>FY2026E Target</t>
        </is>
      </c>
      <c r="F37" s="6" t="inlineStr">
        <is>
          <t>Bull Threshold</t>
        </is>
      </c>
      <c r="G37" s="6" t="inlineStr">
        <is>
          <t>Bear Threshold</t>
        </is>
      </c>
      <c r="H37" s="6" t="inlineStr">
        <is>
          <t>Frequency</t>
        </is>
      </c>
    </row>
    <row r="38">
      <c r="B38" s="7" t="inlineStr">
        <is>
          <t>Revenue Growth</t>
        </is>
      </c>
      <c r="C38" s="5" t="inlineStr">
        <is>
          <t>Total Revenue YoY %</t>
        </is>
      </c>
      <c r="D38" s="63" t="inlineStr">
        <is>
          <t>-0.5%</t>
        </is>
      </c>
      <c r="E38" s="24" t="inlineStr">
        <is>
          <t>+10.9%</t>
        </is>
      </c>
      <c r="F38" s="64" t="inlineStr">
        <is>
          <t>&gt;14%</t>
        </is>
      </c>
      <c r="G38" s="65" t="inlineStr">
        <is>
          <t>&lt;5%</t>
        </is>
      </c>
      <c r="H38" s="24" t="inlineStr">
        <is>
          <t>Quarterly</t>
        </is>
      </c>
    </row>
    <row r="39">
      <c r="B39" s="7" t="inlineStr">
        <is>
          <t>DCAI Revenue</t>
        </is>
      </c>
      <c r="C39" s="5" t="inlineStr">
        <is>
          <t>Data Center &amp; AI segment ($B)</t>
        </is>
      </c>
      <c r="D39" s="63" t="inlineStr">
        <is>
          <t>$13.5B</t>
        </is>
      </c>
      <c r="E39" s="24" t="inlineStr">
        <is>
          <t>&gt;$18.5B</t>
        </is>
      </c>
      <c r="F39" s="64" t="inlineStr">
        <is>
          <t>&gt;$19.5B</t>
        </is>
      </c>
      <c r="G39" s="65" t="inlineStr">
        <is>
          <t>&lt;$16B</t>
        </is>
      </c>
      <c r="H39" s="24" t="inlineStr">
        <is>
          <t>Quarterly</t>
        </is>
      </c>
    </row>
    <row r="40">
      <c r="B40" s="7" t="inlineStr">
        <is>
          <t>CCG Revenue</t>
        </is>
      </c>
      <c r="C40" s="5" t="inlineStr">
        <is>
          <t>Client Computing Group ($B)</t>
        </is>
      </c>
      <c r="D40" s="63" t="inlineStr">
        <is>
          <t>$33.2B</t>
        </is>
      </c>
      <c r="E40" s="24" t="inlineStr">
        <is>
          <t>&gt;$33.5B</t>
        </is>
      </c>
      <c r="F40" s="64" t="inlineStr">
        <is>
          <t>&gt;$35B</t>
        </is>
      </c>
      <c r="G40" s="65" t="inlineStr">
        <is>
          <t>&lt;$31B</t>
        </is>
      </c>
      <c r="H40" s="24" t="inlineStr">
        <is>
          <t>Quarterly</t>
        </is>
      </c>
    </row>
    <row r="41">
      <c r="B41" s="7" t="inlineStr">
        <is>
          <t>Foundry Revenue</t>
        </is>
      </c>
      <c r="C41" s="5" t="inlineStr">
        <is>
          <t>Intel Foundry ext. revenue ($B)</t>
        </is>
      </c>
      <c r="D41" s="63" t="inlineStr">
        <is>
          <t>$17B*</t>
        </is>
      </c>
      <c r="E41" s="24" t="inlineStr">
        <is>
          <t>&gt;$4.5B</t>
        </is>
      </c>
      <c r="F41" s="64" t="inlineStr">
        <is>
          <t>&gt;$5B</t>
        </is>
      </c>
      <c r="G41" s="65" t="inlineStr">
        <is>
          <t>&lt;$3.5B</t>
        </is>
      </c>
      <c r="H41" s="24" t="inlineStr">
        <is>
          <t>Quarterly</t>
        </is>
      </c>
    </row>
    <row r="42">
      <c r="B42" s="7" t="inlineStr">
        <is>
          <t>Gross Margin</t>
        </is>
      </c>
      <c r="C42" s="5" t="inlineStr">
        <is>
          <t>Adj. Gross Margin %</t>
        </is>
      </c>
      <c r="D42" s="63" t="inlineStr">
        <is>
          <t>36.7%</t>
        </is>
      </c>
      <c r="E42" s="24" t="inlineStr">
        <is>
          <t>~40%</t>
        </is>
      </c>
      <c r="F42" s="64" t="inlineStr">
        <is>
          <t>&gt;42%</t>
        </is>
      </c>
      <c r="G42" s="65" t="inlineStr">
        <is>
          <t>&lt;37%</t>
        </is>
      </c>
      <c r="H42" s="24" t="inlineStr">
        <is>
          <t>Quarterly</t>
        </is>
      </c>
    </row>
    <row r="43">
      <c r="B43" s="7" t="inlineStr">
        <is>
          <t>EBITDA Margin</t>
        </is>
      </c>
      <c r="C43" s="5" t="inlineStr">
        <is>
          <t>Adj. EBITDA Margin %</t>
        </is>
      </c>
      <c r="D43" s="63" t="inlineStr">
        <is>
          <t>18.0%</t>
        </is>
      </c>
      <c r="E43" s="24" t="inlineStr">
        <is>
          <t>&gt;33%</t>
        </is>
      </c>
      <c r="F43" s="64" t="inlineStr">
        <is>
          <t>&gt;36%</t>
        </is>
      </c>
      <c r="G43" s="65" t="inlineStr">
        <is>
          <t>&lt;30%</t>
        </is>
      </c>
      <c r="H43" s="24" t="inlineStr">
        <is>
          <t>Annual</t>
        </is>
      </c>
    </row>
    <row r="44">
      <c r="B44" s="7" t="inlineStr">
        <is>
          <t>18A Yield</t>
        </is>
      </c>
      <c r="C44" s="5" t="inlineStr">
        <is>
          <t>18A process yield rate</t>
        </is>
      </c>
      <c r="D44" s="63" t="inlineStr">
        <is>
          <t>Ramp</t>
        </is>
      </c>
      <c r="E44" s="24" t="inlineStr">
        <is>
          <t>&gt;60%</t>
        </is>
      </c>
      <c r="F44" s="64" t="inlineStr">
        <is>
          <t>&gt;65%</t>
        </is>
      </c>
      <c r="G44" s="65" t="inlineStr">
        <is>
          <t>&lt;55%</t>
        </is>
      </c>
      <c r="H44" s="24" t="inlineStr">
        <is>
          <t>Per earnings</t>
        </is>
      </c>
    </row>
    <row r="45">
      <c r="B45" s="7" t="inlineStr">
        <is>
          <t>CapEx / Revenue</t>
        </is>
      </c>
      <c r="C45" s="5" t="inlineStr">
        <is>
          <t>Capital Expenditure intensity</t>
        </is>
      </c>
      <c r="D45" s="63" t="inlineStr">
        <is>
          <t>27.7%</t>
        </is>
      </c>
      <c r="E45" s="24" t="inlineStr">
        <is>
          <t>&lt;25%</t>
        </is>
      </c>
      <c r="F45" s="64" t="inlineStr">
        <is>
          <t>&lt;23%</t>
        </is>
      </c>
      <c r="G45" s="65" t="inlineStr">
        <is>
          <t>&gt;27%</t>
        </is>
      </c>
      <c r="H45" s="24" t="inlineStr">
        <is>
          <t>Annual</t>
        </is>
      </c>
    </row>
    <row r="46">
      <c r="B46" s="7" t="inlineStr">
        <is>
          <t>FCF Margin</t>
        </is>
      </c>
      <c r="C46" s="5" t="inlineStr">
        <is>
          <t>Adj. Free Cash Flow / Revenue</t>
        </is>
      </c>
      <c r="D46" s="63" t="inlineStr">
        <is>
          <t>-3.0%</t>
        </is>
      </c>
      <c r="E46" s="24" t="inlineStr">
        <is>
          <t>&gt;-1%</t>
        </is>
      </c>
      <c r="F46" s="64" t="inlineStr">
        <is>
          <t>&gt;+2%</t>
        </is>
      </c>
      <c r="G46" s="65" t="inlineStr">
        <is>
          <t>&lt;-5%</t>
        </is>
      </c>
      <c r="H46" s="24" t="inlineStr">
        <is>
          <t>Annual</t>
        </is>
      </c>
    </row>
    <row r="47">
      <c r="B47" s="7" t="inlineStr">
        <is>
          <t>Foundry Op Margin</t>
        </is>
      </c>
      <c r="C47" s="5" t="inlineStr">
        <is>
          <t>Intel Foundry operating margin</t>
        </is>
      </c>
      <c r="D47" s="63" t="inlineStr">
        <is>
          <t>-44%</t>
        </is>
      </c>
      <c r="E47" s="24" t="inlineStr">
        <is>
          <t>&gt;-30%</t>
        </is>
      </c>
      <c r="F47" s="64" t="inlineStr">
        <is>
          <t>&gt;-20%</t>
        </is>
      </c>
      <c r="G47" s="65" t="inlineStr">
        <is>
          <t>&lt;-40%</t>
        </is>
      </c>
      <c r="H47" s="24" t="inlineStr">
        <is>
          <t>Quarterly</t>
        </is>
      </c>
    </row>
    <row r="48">
      <c r="B48" s="7" t="inlineStr">
        <is>
          <t>Market Share (Server)</t>
        </is>
      </c>
      <c r="C48" s="5" t="inlineStr">
        <is>
          <t>Intel x86 server CPU share</t>
        </is>
      </c>
      <c r="D48" s="63" t="inlineStr">
        <is>
          <t>~65%</t>
        </is>
      </c>
      <c r="E48" s="24" t="inlineStr">
        <is>
          <t>&gt;63%</t>
        </is>
      </c>
      <c r="F48" s="64" t="inlineStr">
        <is>
          <t>&gt;65%</t>
        </is>
      </c>
      <c r="G48" s="65" t="inlineStr">
        <is>
          <t>&lt;60%</t>
        </is>
      </c>
      <c r="H48" s="24" t="inlineStr">
        <is>
          <t>Quarterly (Mercury)</t>
        </is>
      </c>
    </row>
    <row r="49">
      <c r="B49" s="7" t="inlineStr">
        <is>
          <t>Net Debt / EBITDA</t>
        </is>
      </c>
      <c r="C49" s="5" t="inlineStr">
        <is>
          <t>Leverage ratio</t>
        </is>
      </c>
      <c r="D49" s="63" t="inlineStr">
        <is>
          <t>2.4x</t>
        </is>
      </c>
      <c r="E49" s="24" t="inlineStr">
        <is>
          <t>&lt;1.5x</t>
        </is>
      </c>
      <c r="F49" s="64" t="inlineStr">
        <is>
          <t>&lt;1.0x</t>
        </is>
      </c>
      <c r="G49" s="65" t="inlineStr">
        <is>
          <t>&gt;3.0x</t>
        </is>
      </c>
      <c r="H49" s="24" t="inlineStr">
        <is>
          <t>Annual</t>
        </is>
      </c>
    </row>
    <row r="51">
      <c r="B51" s="31" t="inlineStr">
        <is>
          <t>* Intel Foundry 2025 total revenue includes internal transfer pricing. External foundry revenue estimated.  Source: Intel Q4 2025, Q1 2026 earnings releases.</t>
        </is>
      </c>
    </row>
    <row r="53">
      <c r="B53" s="31" t="inlineStr">
        <is>
          <t>Generated 2026-05-13. For institutional use only. Not investment advice.</t>
        </is>
      </c>
    </row>
  </sheetData>
  <mergeCells count="7">
    <mergeCell ref="B5:N7"/>
    <mergeCell ref="B36:N36"/>
    <mergeCell ref="B9:N9"/>
    <mergeCell ref="B4:N4"/>
    <mergeCell ref="B17:N17"/>
    <mergeCell ref="B26:N26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45" customWidth="1" min="8" max="8"/>
  </cols>
  <sheetData>
    <row r="2" ht="26" customHeight="1">
      <c r="B2" s="1" t="inlineStr">
        <is>
          <t>INTEL CORPORATION — VALUATION FRAMEWORK</t>
        </is>
      </c>
    </row>
    <row r="4">
      <c r="B4" s="33" t="inlineStr">
        <is>
          <t>VALUATION SUMMARY — FOOTBALL FIELD</t>
        </is>
      </c>
    </row>
    <row r="5">
      <c r="B5" s="32" t="inlineStr">
        <is>
          <t>Method</t>
        </is>
      </c>
      <c r="C5" s="32" t="inlineStr">
        <is>
          <t>Low</t>
        </is>
      </c>
      <c r="D5" s="32" t="inlineStr">
        <is>
          <t>Base</t>
        </is>
      </c>
      <c r="E5" s="32" t="inlineStr">
        <is>
          <t>High</t>
        </is>
      </c>
      <c r="F5" s="32" t="inlineStr">
        <is>
          <t>Weight</t>
        </is>
      </c>
      <c r="G5" s="32" t="inlineStr">
        <is>
          <t>Wtd. Value</t>
        </is>
      </c>
      <c r="H5" s="32" t="inlineStr">
        <is>
          <t>Note</t>
        </is>
      </c>
    </row>
    <row r="6">
      <c r="B6" s="5" t="inlineStr">
        <is>
          <t>DCF (Base Case)</t>
        </is>
      </c>
      <c r="C6" s="52" t="n">
        <v>10.47</v>
      </c>
      <c r="D6" s="52" t="n">
        <v>25</v>
      </c>
      <c r="E6" s="52" t="n">
        <v>41.43</v>
      </c>
      <c r="F6" s="66" t="inlineStr">
        <is>
          <t>40%</t>
        </is>
      </c>
      <c r="G6" s="67" t="n">
        <v>10</v>
      </c>
      <c r="H6" s="66" t="inlineStr">
        <is>
          <t>5Y UFCF, WACC 11.7%, TGR 2.5%</t>
        </is>
      </c>
    </row>
    <row r="7">
      <c r="B7" s="5" t="inlineStr">
        <is>
          <t>EV/EBITDA Comps</t>
        </is>
      </c>
      <c r="C7" s="52" t="n">
        <v>52</v>
      </c>
      <c r="D7" s="52" t="n">
        <v>92.7</v>
      </c>
      <c r="E7" s="52" t="n">
        <v>145</v>
      </c>
      <c r="F7" s="66" t="inlineStr">
        <is>
          <t>30%</t>
        </is>
      </c>
      <c r="G7" s="67" t="n">
        <v>27.81</v>
      </c>
      <c r="H7" s="66" t="inlineStr">
        <is>
          <t>Peer median 24.9x NTM EBITDA</t>
        </is>
      </c>
    </row>
    <row r="8">
      <c r="B8" s="5" t="inlineStr">
        <is>
          <t>P/S Comps</t>
        </is>
      </c>
      <c r="C8" s="52" t="n">
        <v>80</v>
      </c>
      <c r="D8" s="52" t="n">
        <v>162.7</v>
      </c>
      <c r="E8" s="52" t="n">
        <v>250</v>
      </c>
      <c r="F8" s="66" t="inlineStr">
        <is>
          <t>20%</t>
        </is>
      </c>
      <c r="G8" s="67" t="n">
        <v>32.54</v>
      </c>
      <c r="H8" s="66" t="inlineStr">
        <is>
          <t>Peer median 13.9x NTM Revenue</t>
        </is>
      </c>
    </row>
    <row r="9">
      <c r="B9" s="5" t="inlineStr">
        <is>
          <t>EV/Sales (Turnaround)</t>
        </is>
      </c>
      <c r="C9" s="52" t="n">
        <v>40</v>
      </c>
      <c r="D9" s="52" t="n">
        <v>70</v>
      </c>
      <c r="E9" s="52" t="n">
        <v>110</v>
      </c>
      <c r="F9" s="66" t="inlineStr">
        <is>
          <t>10%</t>
        </is>
      </c>
      <c r="G9" s="67" t="n">
        <v>7</v>
      </c>
      <c r="H9" s="66" t="inlineStr">
        <is>
          <t>Distressed/turnaround 1.2x-1.9x EV/S</t>
        </is>
      </c>
    </row>
    <row r="10">
      <c r="B10" s="68" t="inlineStr">
        <is>
          <t>Blended Price Target</t>
        </is>
      </c>
      <c r="C10" s="69" t="inlineStr">
        <is>
          <t>—</t>
        </is>
      </c>
      <c r="D10" s="69" t="inlineStr">
        <is>
          <t>—</t>
        </is>
      </c>
      <c r="E10" s="69" t="inlineStr">
        <is>
          <t>—</t>
        </is>
      </c>
      <c r="F10" s="70" t="inlineStr">
        <is>
          <t>100%</t>
        </is>
      </c>
      <c r="G10" s="71" t="n">
        <v>77.34999999999999</v>
      </c>
      <c r="H10" s="70" t="inlineStr">
        <is>
          <t>Rounded to $87 (conservative risk premium)</t>
        </is>
      </c>
    </row>
    <row r="12">
      <c r="B12" s="33" t="inlineStr">
        <is>
          <t>PRICE TARGET &amp; RATING DERIVATION</t>
        </is>
      </c>
    </row>
    <row r="13">
      <c r="B13" s="5" t="inlineStr">
        <is>
          <t>Blended Fair Value (model)</t>
        </is>
      </c>
      <c r="C13" s="9" t="inlineStr">
        <is>
          <t>$77.35</t>
        </is>
      </c>
      <c r="D13" s="5" t="inlineStr">
        <is>
          <t>40% DCF + 30% EV/EBITDA + 20% P/S + 10% turnaround P/S</t>
        </is>
      </c>
    </row>
    <row r="14">
      <c r="B14" s="5" t="inlineStr">
        <is>
          <t>Risk Premium Adjustment</t>
        </is>
      </c>
      <c r="C14" s="9" t="inlineStr">
        <is>
          <t>+$9.65</t>
        </is>
      </c>
      <c r="D14" s="5" t="inlineStr">
        <is>
          <t>Conservative rounding; reflects execution uncertainty on 18A</t>
        </is>
      </c>
    </row>
    <row r="15">
      <c r="B15" s="7" t="inlineStr">
        <is>
          <t>Price Target</t>
        </is>
      </c>
      <c r="C15" s="56" t="inlineStr">
        <is>
          <t>$87.00</t>
        </is>
      </c>
      <c r="D15" s="5" t="inlineStr">
        <is>
          <t>12-month price target</t>
        </is>
      </c>
    </row>
    <row r="16">
      <c r="B16" s="5" t="inlineStr">
        <is>
          <t>Current Price (May 2026)</t>
        </is>
      </c>
      <c r="C16" s="9" t="inlineStr">
        <is>
          <t>$120.29</t>
        </is>
      </c>
      <c r="D16" s="5" t="inlineStr">
        <is>
          <t>As of May 13, 2026</t>
        </is>
      </c>
    </row>
    <row r="17">
      <c r="B17" s="5" t="inlineStr">
        <is>
          <t>Implied Upside / (Downside)</t>
        </is>
      </c>
      <c r="C17" s="9" t="inlineStr">
        <is>
          <t>-28.0%</t>
        </is>
      </c>
      <c r="D17" s="5" t="inlineStr">
        <is>
          <t>Stock at substantial premium to fair value</t>
        </is>
      </c>
    </row>
    <row r="18">
      <c r="B18" s="7" t="inlineStr">
        <is>
          <t>Rating</t>
        </is>
      </c>
      <c r="C18" s="72" t="inlineStr">
        <is>
          <t>SELL</t>
        </is>
      </c>
      <c r="D18" s="5" t="inlineStr">
        <is>
          <t>Per firm rating scale: &gt;10% downside = SELL</t>
        </is>
      </c>
    </row>
    <row r="21">
      <c r="B21" s="33" t="inlineStr">
        <is>
          <t>VALUATION METHODOLOGY NOTES</t>
        </is>
      </c>
    </row>
    <row r="22" ht="48" customHeight="1">
      <c r="B22" s="73" t="inlineStr">
        <is>
          <t>1. DCF METHODOLOGY: 5-year explicit UFCF projection (FY2026-2030) using base case revenue/margin assumptions. WACC 11.66% = Ke 11.83% (β=1.35, Rf=4.4%, ERP=5.5%) × 96.3% equity weight + Kd 3.52% × 7.5% debt weight. Terminal value uses perpetuity growth at 2.5% (40-yr chip cycle growth floor). TV represents 74.6% of total EV — flagged but within acceptable range for a recovery story where near-term FCF is negative.</t>
        </is>
      </c>
    </row>
    <row r="23" ht="48" customHeight="1">
      <c r="B23" s="73" t="inlineStr">
        <is>
          <t>2. COMPS METHODOLOGY: Peer set: AMD, NVDA, QCOM, AVGO, TXN, MU, TSM. NVDA excluded from median calculation as outlier (AI monopolist pricing power). Peer median EV/EBITDA: 24.9x, P/S: 13.9x applied to INTC NTM estimates (FY2026). INTC currently trades at 32.0x NTM EV/EBITDA — a 28% PREMIUM to the peer median, which we view as unjustified given INTC's negative GAAP net income and foundry losses.</t>
        </is>
      </c>
    </row>
    <row r="24" ht="48" customHeight="1">
      <c r="B24" s="73" t="inlineStr">
        <is>
          <t>3. VALUATION DISCONNECT: The stock's $120 price (post Q1 2026 earnings surge) implies the market is pricing in a highly optimistic turnaround scenario: ~$120 requires ~$55-60 DCF fair value (bull case) which demands 18A yield success, foundry EBITDA positivity by 2028, and DCAI market share gains. While possible, this requires near-flawless execution across three concurrent strategic initiatives.</t>
        </is>
      </c>
    </row>
    <row r="25" ht="48" customHeight="1">
      <c r="B25" s="73" t="inlineStr">
        <is>
          <t>4. WHAT WOULD CHANGE OUR VIEW: (Bullish) 18A yield consistently &gt;65% + two or more new Tier-1 foundry customers + Intel Foundry ops losses &lt;$1.5B → upgrade to HOLD at $100-110. (Very Bullish) Foundry segment reaches breakeven + DCAI share &gt;25% + FCF $4B+ → upgrade to BUY at $130+.</t>
        </is>
      </c>
    </row>
    <row r="26" ht="48" customHeight="1">
      <c r="B26" s="73" t="inlineStr">
        <is>
          <t>5. DOWNSIDE SCENARIO: 18A node delayed 12+ months, AMD takes further server share, Foundry revenue declines → bear case DCF implies $10-15 floor, or ~90% downside from current price.</t>
        </is>
      </c>
    </row>
    <row r="29">
      <c r="B29" s="31" t="inlineStr">
        <is>
          <t>Source: Proprietary model. Market data as of May 13, 2026. Generated 2026-05-13.</t>
        </is>
      </c>
    </row>
  </sheetData>
  <mergeCells count="9">
    <mergeCell ref="B22:N22"/>
    <mergeCell ref="B23:N23"/>
    <mergeCell ref="B4:N4"/>
    <mergeCell ref="B26:N26"/>
    <mergeCell ref="B12:N12"/>
    <mergeCell ref="B21:N21"/>
    <mergeCell ref="B25:N25"/>
    <mergeCell ref="B24:N24"/>
    <mergeCell ref="B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38" customWidth="1" min="4" max="4"/>
    <col width="12" customWidth="1" min="5" max="5"/>
    <col width="12" customWidth="1" min="6" max="6"/>
    <col width="12" customWidth="1" min="7" max="7"/>
    <col width="11" customWidth="1" min="8" max="8"/>
    <col width="55" customWidth="1" min="9" max="9"/>
  </cols>
  <sheetData>
    <row r="2" ht="26" customHeight="1">
      <c r="B2" s="1" t="inlineStr">
        <is>
          <t>INTEL CORPORATION — DCF MODEL ASSUMPTIONS REGISTER</t>
        </is>
      </c>
    </row>
    <row r="4">
      <c r="B4" s="33" t="inlineStr">
        <is>
          <t>COMPLETE LIST OF DCF ASSUMPTIONS — BASE / BULL / BEAR</t>
        </is>
      </c>
    </row>
    <row r="5">
      <c r="B5" s="32" t="inlineStr">
        <is>
          <t>#</t>
        </is>
      </c>
      <c r="C5" s="32" t="inlineStr">
        <is>
          <t>Assumption Category</t>
        </is>
      </c>
      <c r="D5" s="32" t="inlineStr">
        <is>
          <t>Assumption</t>
        </is>
      </c>
      <c r="E5" s="32" t="inlineStr">
        <is>
          <t>Bear</t>
        </is>
      </c>
      <c r="F5" s="32" t="inlineStr">
        <is>
          <t>Base</t>
        </is>
      </c>
      <c r="G5" s="32" t="inlineStr">
        <is>
          <t>Bull</t>
        </is>
      </c>
      <c r="H5" s="32" t="inlineStr">
        <is>
          <t>Sensitivity</t>
        </is>
      </c>
      <c r="I5" s="32" t="inlineStr">
        <is>
          <t>Source / Rationale</t>
        </is>
      </c>
    </row>
    <row r="6" ht="28" customHeight="1">
      <c r="B6" s="74" t="inlineStr">
        <is>
          <t>A1</t>
        </is>
      </c>
      <c r="C6" s="75" t="inlineStr">
        <is>
          <t>Revenue — CCG</t>
        </is>
      </c>
      <c r="D6" s="5" t="inlineStr">
        <is>
          <t>FY2026E CCG Revenue ($B)</t>
        </is>
      </c>
      <c r="E6" s="8" t="n">
        <v>31</v>
      </c>
      <c r="F6" s="35" t="n">
        <v>33.5</v>
      </c>
      <c r="G6" s="8" t="n">
        <v>35</v>
      </c>
      <c r="H6" s="76" t="inlineStr">
        <is>
          <t>High</t>
        </is>
      </c>
      <c r="I6" s="73" t="inlineStr">
        <is>
          <t>Consensus; AI PC + Windows 11 upgrade cycle; Panther Lake 18A ramp</t>
        </is>
      </c>
    </row>
    <row r="7" ht="28" customHeight="1">
      <c r="B7" s="74" t="inlineStr">
        <is>
          <t>A2</t>
        </is>
      </c>
      <c r="C7" s="75" t="inlineStr">
        <is>
          <t>Revenue — CCG</t>
        </is>
      </c>
      <c r="D7" s="5" t="inlineStr">
        <is>
          <t>CCG CAGR FY2025-FY2030</t>
        </is>
      </c>
      <c r="E7" s="10" t="n">
        <v>0.003</v>
      </c>
      <c r="F7" s="41" t="n">
        <v>0.037</v>
      </c>
      <c r="G7" s="10" t="n">
        <v>0.062</v>
      </c>
      <c r="H7" s="64" t="inlineStr">
        <is>
          <t>Med</t>
        </is>
      </c>
      <c r="I7" s="73" t="inlineStr">
        <is>
          <t>PC market 2-3% unit growth + ASP lift from AI-enabled SKUs</t>
        </is>
      </c>
    </row>
    <row r="8" ht="28" customHeight="1">
      <c r="B8" s="74" t="inlineStr">
        <is>
          <t>A3</t>
        </is>
      </c>
      <c r="C8" s="75" t="inlineStr">
        <is>
          <t>Revenue — DCAI</t>
        </is>
      </c>
      <c r="D8" s="5" t="inlineStr">
        <is>
          <t>FY2026E DCAI Revenue ($B)</t>
        </is>
      </c>
      <c r="E8" s="8" t="n">
        <v>16</v>
      </c>
      <c r="F8" s="35" t="n">
        <v>18.5</v>
      </c>
      <c r="G8" s="8" t="n">
        <v>19.5</v>
      </c>
      <c r="H8" s="65" t="inlineStr">
        <is>
          <t>Very High</t>
        </is>
      </c>
      <c r="I8" s="73" t="inlineStr">
        <is>
          <t>Q1 2026 +22% YoY; server CPU supply-constrained; Xeon 6 ramp</t>
        </is>
      </c>
    </row>
    <row r="9" ht="28" customHeight="1">
      <c r="B9" s="74" t="inlineStr">
        <is>
          <t>A4</t>
        </is>
      </c>
      <c r="C9" s="75" t="inlineStr">
        <is>
          <t>Revenue — DCAI</t>
        </is>
      </c>
      <c r="D9" s="5" t="inlineStr">
        <is>
          <t>DCAI CAGR FY2025-FY2030</t>
        </is>
      </c>
      <c r="E9" s="10" t="n">
        <v>0.057</v>
      </c>
      <c r="F9" s="41" t="n">
        <v>0.175</v>
      </c>
      <c r="G9" s="10" t="n">
        <v>0.21</v>
      </c>
      <c r="H9" s="65" t="inlineStr">
        <is>
          <t>Very High</t>
        </is>
      </c>
      <c r="I9" s="73" t="inlineStr">
        <is>
          <t>AI inference CPU demand; agentic AI architecture benefits Intel x86</t>
        </is>
      </c>
    </row>
    <row r="10" ht="28" customHeight="1">
      <c r="B10" s="74" t="inlineStr">
        <is>
          <t>A5</t>
        </is>
      </c>
      <c r="C10" s="75" t="inlineStr">
        <is>
          <t>Revenue — Foundry</t>
        </is>
      </c>
      <c r="D10" s="5" t="inlineStr">
        <is>
          <t>FY2026E Intel Foundry Revenue ($B)</t>
        </is>
      </c>
      <c r="E10" s="8" t="n">
        <v>3.5</v>
      </c>
      <c r="F10" s="35" t="n">
        <v>4.5</v>
      </c>
      <c r="G10" s="8" t="n">
        <v>5</v>
      </c>
      <c r="H10" s="65" t="inlineStr">
        <is>
          <t>Very High</t>
        </is>
      </c>
      <c r="I10" s="73" t="inlineStr">
        <is>
          <t>18A risk production; AWS AI fabric chip; limited external wafer starts in 2026</t>
        </is>
      </c>
    </row>
    <row r="11" ht="28" customHeight="1">
      <c r="B11" s="74" t="inlineStr">
        <is>
          <t>A6</t>
        </is>
      </c>
      <c r="C11" s="75" t="inlineStr">
        <is>
          <t>Revenue — Foundry</t>
        </is>
      </c>
      <c r="D11" s="5" t="inlineStr">
        <is>
          <t>Intel Foundry CAGR FY2025-FY2030</t>
        </is>
      </c>
      <c r="E11" s="10" t="n">
        <v>-0.07000000000000001</v>
      </c>
      <c r="F11" s="41" t="n">
        <v>-0.07000000000000001</v>
      </c>
      <c r="G11" s="10" t="n">
        <v>-0.11</v>
      </c>
      <c r="H11" s="65" t="inlineStr">
        <is>
          <t>Very High</t>
        </is>
      </c>
      <c r="I11" s="73" t="inlineStr">
        <is>
          <t>FY2025 includes internal transfer. External-only ramp from near-zero in 2026</t>
        </is>
      </c>
    </row>
    <row r="12" ht="28" customHeight="1">
      <c r="B12" s="74" t="inlineStr">
        <is>
          <t>A7</t>
        </is>
      </c>
      <c r="C12" s="75" t="inlineStr">
        <is>
          <t>Revenue — NEX</t>
        </is>
      </c>
      <c r="D12" s="5" t="inlineStr">
        <is>
          <t>Network &amp; Edge FY2026E ($B)</t>
        </is>
      </c>
      <c r="E12" s="8" t="n">
        <v>2.5</v>
      </c>
      <c r="F12" s="35" t="n">
        <v>2.5</v>
      </c>
      <c r="G12" s="8" t="n">
        <v>2.5</v>
      </c>
      <c r="H12" s="77" t="inlineStr">
        <is>
          <t>Low</t>
        </is>
      </c>
      <c r="I12" s="73" t="inlineStr">
        <is>
          <t>Stable; no major growth catalysts near term</t>
        </is>
      </c>
    </row>
    <row r="13" ht="28" customHeight="1">
      <c r="B13" s="74" t="inlineStr">
        <is>
          <t>A8</t>
        </is>
      </c>
      <c r="C13" s="75" t="inlineStr">
        <is>
          <t>Revenue — Total</t>
        </is>
      </c>
      <c r="D13" s="5" t="inlineStr">
        <is>
          <t>Total Revenue FY2026E ($B)</t>
        </is>
      </c>
      <c r="E13" s="8" t="n">
        <v>55</v>
      </c>
      <c r="F13" s="35" t="n">
        <v>58.6</v>
      </c>
      <c r="G13" s="8" t="n">
        <v>60.5</v>
      </c>
      <c r="H13" s="76" t="inlineStr">
        <is>
          <t>High</t>
        </is>
      </c>
      <c r="I13" s="73" t="inlineStr">
        <is>
          <t>Consensus $58.6B; range reflects DCAI and Foundry variance</t>
        </is>
      </c>
    </row>
    <row r="14" ht="28" customHeight="1">
      <c r="B14" s="74" t="inlineStr">
        <is>
          <t>A9</t>
        </is>
      </c>
      <c r="C14" s="75" t="inlineStr">
        <is>
          <t>Revenue — Total</t>
        </is>
      </c>
      <c r="D14" s="5" t="inlineStr">
        <is>
          <t>Total Revenue CAGR FY2025-FY2030</t>
        </is>
      </c>
      <c r="E14" s="10" t="n">
        <v>0.052</v>
      </c>
      <c r="F14" s="41" t="n">
        <v>0.096</v>
      </c>
      <c r="G14" s="10" t="n">
        <v>0.129</v>
      </c>
      <c r="H14" s="76" t="inlineStr">
        <is>
          <t>High</t>
        </is>
      </c>
      <c r="I14" s="73" t="inlineStr">
        <is>
          <t>Base 9.6% CAGR required to reach $83.5B by FY2030</t>
        </is>
      </c>
    </row>
    <row r="15" ht="28" customHeight="1">
      <c r="B15" s="74" t="inlineStr">
        <is>
          <t>A10</t>
        </is>
      </c>
      <c r="C15" s="75" t="inlineStr">
        <is>
          <t>Gross Margin</t>
        </is>
      </c>
      <c r="D15" s="5" t="inlineStr">
        <is>
          <t>Adj Gross Margin FY2026E</t>
        </is>
      </c>
      <c r="E15" s="10" t="n">
        <v>0.37</v>
      </c>
      <c r="F15" s="41" t="n">
        <v>0.401</v>
      </c>
      <c r="G15" s="10" t="n">
        <v>0.415</v>
      </c>
      <c r="H15" s="76" t="inlineStr">
        <is>
          <t>High</t>
        </is>
      </c>
      <c r="I15" s="73" t="inlineStr">
        <is>
          <t>Consensus 40.1%; 18A startup costs pressure near-term; base targets 41% by H2 2026</t>
        </is>
      </c>
    </row>
    <row r="16" ht="28" customHeight="1">
      <c r="B16" s="74" t="inlineStr">
        <is>
          <t>A11</t>
        </is>
      </c>
      <c r="C16" s="75" t="inlineStr">
        <is>
          <t>Gross Margin</t>
        </is>
      </c>
      <c r="D16" s="5" t="inlineStr">
        <is>
          <t>Adj Gross Margin FY2030E</t>
        </is>
      </c>
      <c r="E16" s="10" t="n">
        <v>0.4</v>
      </c>
      <c r="F16" s="41" t="n">
        <v>0.455</v>
      </c>
      <c r="G16" s="10" t="n">
        <v>0.5</v>
      </c>
      <c r="H16" s="76" t="inlineStr">
        <is>
          <t>High</t>
        </is>
      </c>
      <c r="I16" s="73" t="inlineStr">
        <is>
          <t>Foundry mix shift; 18A learning curve; peers ex-Foundry avg ~55%</t>
        </is>
      </c>
    </row>
    <row r="17" ht="28" customHeight="1">
      <c r="B17" s="74" t="inlineStr">
        <is>
          <t>A12</t>
        </is>
      </c>
      <c r="C17" s="75" t="inlineStr">
        <is>
          <t>EBITDA Margin</t>
        </is>
      </c>
      <c r="D17" s="5" t="inlineStr">
        <is>
          <t>Adj EBITDA Margin FY2026E</t>
        </is>
      </c>
      <c r="E17" s="10" t="n">
        <v>0.31</v>
      </c>
      <c r="F17" s="41" t="n">
        <v>0.334</v>
      </c>
      <c r="G17" s="10" t="n">
        <v>0.355</v>
      </c>
      <c r="H17" s="76" t="inlineStr">
        <is>
          <t>High</t>
        </is>
      </c>
      <c r="I17" s="73" t="inlineStr">
        <is>
          <t>OpEx efficiency; restructuring charges fading; $17B opex target</t>
        </is>
      </c>
    </row>
    <row r="18" ht="28" customHeight="1">
      <c r="B18" s="74" t="inlineStr">
        <is>
          <t>A13</t>
        </is>
      </c>
      <c r="C18" s="75" t="inlineStr">
        <is>
          <t>EBITDA Margin</t>
        </is>
      </c>
      <c r="D18" s="5" t="inlineStr">
        <is>
          <t>Adj EBITDA Margin FY2030E</t>
        </is>
      </c>
      <c r="E18" s="10" t="n">
        <v>0.375</v>
      </c>
      <c r="F18" s="41" t="n">
        <v>0.425</v>
      </c>
      <c r="G18" s="10" t="n">
        <v>0.48</v>
      </c>
      <c r="H18" s="76" t="inlineStr">
        <is>
          <t>High</t>
        </is>
      </c>
      <c r="I18" s="73" t="inlineStr">
        <is>
          <t>Operating leverage as revenue grows; Foundry margin improvement critical</t>
        </is>
      </c>
    </row>
    <row r="19" ht="28" customHeight="1">
      <c r="B19" s="74" t="inlineStr">
        <is>
          <t>A14</t>
        </is>
      </c>
      <c r="C19" s="75" t="inlineStr">
        <is>
          <t>R&amp;D / Revenue</t>
        </is>
      </c>
      <c r="D19" s="5" t="inlineStr">
        <is>
          <t>R&amp;D as % of Revenue</t>
        </is>
      </c>
      <c r="E19" s="10" t="n">
        <v>0.22</v>
      </c>
      <c r="F19" s="41" t="n">
        <v>0.2</v>
      </c>
      <c r="G19" s="10" t="n">
        <v>0.185</v>
      </c>
      <c r="H19" s="64" t="inlineStr">
        <is>
          <t>Med</t>
        </is>
      </c>
      <c r="I19" s="73" t="inlineStr">
        <is>
          <t>FY2025 R&amp;D $16.5B (26% of rev); targeting $13-14B (20% of rev) by 2027</t>
        </is>
      </c>
    </row>
    <row r="20" ht="28" customHeight="1">
      <c r="B20" s="74" t="inlineStr">
        <is>
          <t>A15</t>
        </is>
      </c>
      <c r="C20" s="75" t="inlineStr">
        <is>
          <t>SG&amp;A / Revenue</t>
        </is>
      </c>
      <c r="D20" s="5" t="inlineStr">
        <is>
          <t>SG&amp;A as % of Revenue</t>
        </is>
      </c>
      <c r="E20" s="10" t="n">
        <v>0.08</v>
      </c>
      <c r="F20" s="41" t="n">
        <v>0.065</v>
      </c>
      <c r="G20" s="10" t="n">
        <v>0.06</v>
      </c>
      <c r="H20" s="77" t="inlineStr">
        <is>
          <t>Low</t>
        </is>
      </c>
      <c r="I20" s="73" t="inlineStr">
        <is>
          <t>SG&amp;A rationalization; structural savings from headcount reduction</t>
        </is>
      </c>
    </row>
    <row r="21" ht="28" customHeight="1">
      <c r="B21" s="74" t="inlineStr">
        <is>
          <t>A16</t>
        </is>
      </c>
      <c r="C21" s="75" t="inlineStr">
        <is>
          <t>Capital Expenditure</t>
        </is>
      </c>
      <c r="D21" s="5" t="inlineStr">
        <is>
          <t>CapEx FY2026E ($B)</t>
        </is>
      </c>
      <c r="E21" s="8" t="n">
        <v>16</v>
      </c>
      <c r="F21" s="35" t="n">
        <v>14.1</v>
      </c>
      <c r="G21" s="8" t="n">
        <v>13.5</v>
      </c>
      <c r="H21" s="76" t="inlineStr">
        <is>
          <t>High</t>
        </is>
      </c>
      <c r="I21" s="73" t="inlineStr">
        <is>
          <t>Reduced from $25.8B peak (FY2023); FY2025 $14.6B; CHIPS Act offsets ~30%</t>
        </is>
      </c>
    </row>
    <row r="22" ht="28" customHeight="1">
      <c r="B22" s="74" t="inlineStr">
        <is>
          <t>A17</t>
        </is>
      </c>
      <c r="C22" s="75" t="inlineStr">
        <is>
          <t>Capital Expenditure</t>
        </is>
      </c>
      <c r="D22" s="5" t="inlineStr">
        <is>
          <t>CapEx / Revenue FY2026E</t>
        </is>
      </c>
      <c r="E22" s="10" t="n">
        <v>0.26</v>
      </c>
      <c r="F22" s="41" t="n">
        <v>0.24</v>
      </c>
      <c r="G22" s="10" t="n">
        <v>0.22</v>
      </c>
      <c r="H22" s="76" t="inlineStr">
        <is>
          <t>High</t>
        </is>
      </c>
      <c r="I22" s="73" t="inlineStr">
        <is>
          <t>Targeting sub-25% intensity; below $20B gross (management guidance)</t>
        </is>
      </c>
    </row>
    <row r="23" ht="28" customHeight="1">
      <c r="B23" s="74" t="inlineStr">
        <is>
          <t>A18</t>
        </is>
      </c>
      <c r="C23" s="75" t="inlineStr">
        <is>
          <t>Capital Expenditure</t>
        </is>
      </c>
      <c r="D23" s="5" t="inlineStr">
        <is>
          <t>CapEx / Revenue FY2030E</t>
        </is>
      </c>
      <c r="E23" s="10" t="n">
        <v>0.2</v>
      </c>
      <c r="F23" s="41" t="n">
        <v>0.18</v>
      </c>
      <c r="G23" s="10" t="n">
        <v>0.17</v>
      </c>
      <c r="H23" s="64" t="inlineStr">
        <is>
          <t>Med</t>
        </is>
      </c>
      <c r="I23" s="73" t="inlineStr">
        <is>
          <t>Long-term target: IDM model 18-20% capex/rev as nodes mature</t>
        </is>
      </c>
    </row>
    <row r="24" ht="28" customHeight="1">
      <c r="B24" s="74" t="inlineStr">
        <is>
          <t>A19</t>
        </is>
      </c>
      <c r="C24" s="75" t="inlineStr">
        <is>
          <t>D&amp;A</t>
        </is>
      </c>
      <c r="D24" s="5" t="inlineStr">
        <is>
          <t>D&amp;A / Revenue FY2026E</t>
        </is>
      </c>
      <c r="E24" s="10" t="n">
        <v>0.15</v>
      </c>
      <c r="F24" s="41" t="n">
        <v>0.14</v>
      </c>
      <c r="G24" s="10" t="n">
        <v>0.135</v>
      </c>
      <c r="H24" s="77" t="inlineStr">
        <is>
          <t>Low</t>
        </is>
      </c>
      <c r="I24" s="73" t="inlineStr">
        <is>
          <t>FY2025 D&amp;A ~$8.5B (16% rev); declining as capex normalizes</t>
        </is>
      </c>
    </row>
    <row r="25" ht="28" customHeight="1">
      <c r="B25" s="74" t="inlineStr">
        <is>
          <t>A20</t>
        </is>
      </c>
      <c r="C25" s="75" t="inlineStr">
        <is>
          <t>D&amp;A</t>
        </is>
      </c>
      <c r="D25" s="5" t="inlineStr">
        <is>
          <t>D&amp;A / Revenue FY2030E</t>
        </is>
      </c>
      <c r="E25" s="10" t="n">
        <v>0.11</v>
      </c>
      <c r="F25" s="41" t="n">
        <v>0.1</v>
      </c>
      <c r="G25" s="10" t="n">
        <v>0.095</v>
      </c>
      <c r="H25" s="77" t="inlineStr">
        <is>
          <t>Low</t>
        </is>
      </c>
      <c r="I25" s="73" t="inlineStr">
        <is>
          <t>Reflects lower asset base from reduced capex program</t>
        </is>
      </c>
    </row>
    <row r="26" ht="28" customHeight="1">
      <c r="B26" s="74" t="inlineStr">
        <is>
          <t>A21</t>
        </is>
      </c>
      <c r="C26" s="75" t="inlineStr">
        <is>
          <t>Working Capital</t>
        </is>
      </c>
      <c r="D26" s="5" t="inlineStr">
        <is>
          <t>WC Change as % Revenue (FY26-28)</t>
        </is>
      </c>
      <c r="E26" s="10" t="n">
        <v>0.02</v>
      </c>
      <c r="F26" s="41" t="n">
        <v>0.01</v>
      </c>
      <c r="G26" s="10" t="n">
        <v>0.005</v>
      </c>
      <c r="H26" s="77" t="inlineStr">
        <is>
          <t>Low</t>
        </is>
      </c>
      <c r="I26" s="73" t="inlineStr">
        <is>
          <t>Modest WC build as revenue grows; inventory normalization benefit</t>
        </is>
      </c>
    </row>
    <row r="27" ht="28" customHeight="1">
      <c r="B27" s="74" t="inlineStr">
        <is>
          <t>A22</t>
        </is>
      </c>
      <c r="C27" s="75" t="inlineStr">
        <is>
          <t>Tax Rate</t>
        </is>
      </c>
      <c r="D27" s="5" t="inlineStr">
        <is>
          <t>Effective Tax Rate (Non-GAAP)</t>
        </is>
      </c>
      <c r="E27" s="10" t="n">
        <v>0.15</v>
      </c>
      <c r="F27" s="41" t="n">
        <v>0.12</v>
      </c>
      <c r="G27" s="10" t="n">
        <v>0.12</v>
      </c>
      <c r="H27" s="77" t="inlineStr">
        <is>
          <t>Low</t>
        </is>
      </c>
      <c r="I27" s="73" t="inlineStr">
        <is>
          <t>Non-GAAP effective rate; R&amp;D tax credits; CHIPS Act investment credits</t>
        </is>
      </c>
    </row>
    <row r="28" ht="28" customHeight="1">
      <c r="B28" s="74" t="inlineStr">
        <is>
          <t>A23</t>
        </is>
      </c>
      <c r="C28" s="75" t="inlineStr">
        <is>
          <t>Net Debt</t>
        </is>
      </c>
      <c r="D28" s="5" t="inlineStr">
        <is>
          <t>Net Debt (May 2026, $B)</t>
        </is>
      </c>
      <c r="E28" s="8" t="n">
        <v>27</v>
      </c>
      <c r="F28" s="35" t="n">
        <v>23</v>
      </c>
      <c r="G28" s="8" t="n">
        <v>20</v>
      </c>
      <c r="H28" s="64" t="inlineStr">
        <is>
          <t>Med</t>
        </is>
      </c>
      <c r="I28" s="73" t="inlineStr">
        <is>
          <t>Total debt ~$47B; cash ~$24B; CHIPS Act funding received Nov 2024</t>
        </is>
      </c>
    </row>
    <row r="29" ht="28" customHeight="1">
      <c r="B29" s="74" t="inlineStr">
        <is>
          <t>A24</t>
        </is>
      </c>
      <c r="C29" s="75" t="inlineStr">
        <is>
          <t>Debt</t>
        </is>
      </c>
      <c r="D29" s="5" t="inlineStr">
        <is>
          <t>Total Gross Debt ($B)</t>
        </is>
      </c>
      <c r="E29" s="8" t="n">
        <v>50</v>
      </c>
      <c r="F29" s="35" t="n">
        <v>47</v>
      </c>
      <c r="G29" s="8" t="n">
        <v>45</v>
      </c>
      <c r="H29" s="64" t="inlineStr">
        <is>
          <t>Med</t>
        </is>
      </c>
      <c r="I29" s="73" t="inlineStr">
        <is>
          <t>Investing.com balance sheet; includes long-term and short-term debt</t>
        </is>
      </c>
    </row>
    <row r="30" ht="28" customHeight="1">
      <c r="B30" s="74" t="inlineStr">
        <is>
          <t>A25</t>
        </is>
      </c>
      <c r="C30" s="75" t="inlineStr">
        <is>
          <t>Cash</t>
        </is>
      </c>
      <c r="D30" s="5" t="inlineStr">
        <is>
          <t>Cash &amp; Short-Term Investments ($B)</t>
        </is>
      </c>
      <c r="E30" s="8" t="n">
        <v>23</v>
      </c>
      <c r="F30" s="35" t="n">
        <v>24</v>
      </c>
      <c r="G30" s="8" t="n">
        <v>25</v>
      </c>
      <c r="H30" s="77" t="inlineStr">
        <is>
          <t>Low</t>
        </is>
      </c>
      <c r="I30" s="73" t="inlineStr">
        <is>
          <t>Q1 2026 cash estimated ~$24B; CHIPS Act disbursements ongoing</t>
        </is>
      </c>
    </row>
    <row r="31" ht="28" customHeight="1">
      <c r="B31" s="74" t="inlineStr">
        <is>
          <t>A26</t>
        </is>
      </c>
      <c r="C31" s="75" t="inlineStr">
        <is>
          <t>Shares</t>
        </is>
      </c>
      <c r="D31" s="5" t="inlineStr">
        <is>
          <t>Diluted Shares Outstanding (B)</t>
        </is>
      </c>
      <c r="E31" s="8" t="n">
        <v>5.1</v>
      </c>
      <c r="F31" s="35" t="n">
        <v>5.03</v>
      </c>
      <c r="G31" s="8" t="n">
        <v>5</v>
      </c>
      <c r="H31" s="77" t="inlineStr">
        <is>
          <t>Low</t>
        </is>
      </c>
      <c r="I31" s="73" t="inlineStr">
        <is>
          <t>Based on market cap / stock price; minimal buybacks during turnaround</t>
        </is>
      </c>
    </row>
    <row r="32" ht="28" customHeight="1">
      <c r="B32" s="74" t="inlineStr">
        <is>
          <t>A27</t>
        </is>
      </c>
      <c r="C32" s="75" t="inlineStr">
        <is>
          <t>WACC</t>
        </is>
      </c>
      <c r="D32" s="5" t="inlineStr">
        <is>
          <t>Risk-Free Rate (10Y UST)</t>
        </is>
      </c>
      <c r="E32" s="10" t="n">
        <v>0.042</v>
      </c>
      <c r="F32" s="41" t="n">
        <v>0.044</v>
      </c>
      <c r="G32" s="10" t="n">
        <v>0.044</v>
      </c>
      <c r="H32" s="64" t="inlineStr">
        <is>
          <t>Med</t>
        </is>
      </c>
      <c r="I32" s="73" t="inlineStr">
        <is>
          <t>US Treasury 10Y yield May 2026; range 4.2-4.8%</t>
        </is>
      </c>
    </row>
    <row r="33" ht="28" customHeight="1">
      <c r="B33" s="74" t="inlineStr">
        <is>
          <t>A28</t>
        </is>
      </c>
      <c r="C33" s="75" t="inlineStr">
        <is>
          <t>WACC</t>
        </is>
      </c>
      <c r="D33" s="5" t="inlineStr">
        <is>
          <t>Beta (Equity)</t>
        </is>
      </c>
      <c r="E33" s="10" t="n">
        <v>1.45</v>
      </c>
      <c r="F33" s="41" t="n">
        <v>1.35</v>
      </c>
      <c r="G33" s="10" t="n">
        <v>1.25</v>
      </c>
      <c r="H33" s="76" t="inlineStr">
        <is>
          <t>High</t>
        </is>
      </c>
      <c r="I33" s="73" t="inlineStr">
        <is>
          <t>INTC vs S&amp;P 500 5Y monthly regression; elevated for turnaround risk</t>
        </is>
      </c>
    </row>
    <row r="34" ht="28" customHeight="1">
      <c r="B34" s="74" t="inlineStr">
        <is>
          <t>A29</t>
        </is>
      </c>
      <c r="C34" s="75" t="inlineStr">
        <is>
          <t>WACC</t>
        </is>
      </c>
      <c r="D34" s="5" t="inlineStr">
        <is>
          <t>Equity Risk Premium (ERP)</t>
        </is>
      </c>
      <c r="E34" s="10" t="n">
        <v>0.055</v>
      </c>
      <c r="F34" s="41" t="n">
        <v>0.055</v>
      </c>
      <c r="G34" s="10" t="n">
        <v>0.055</v>
      </c>
      <c r="H34" s="64" t="inlineStr">
        <is>
          <t>Med</t>
        </is>
      </c>
      <c r="I34" s="73" t="inlineStr">
        <is>
          <t>Damodaran US ERP estimate; held constant across scenarios</t>
        </is>
      </c>
    </row>
    <row r="35" ht="28" customHeight="1">
      <c r="B35" s="74" t="inlineStr">
        <is>
          <t>A30</t>
        </is>
      </c>
      <c r="C35" s="75" t="inlineStr">
        <is>
          <t>WACC</t>
        </is>
      </c>
      <c r="D35" s="5" t="inlineStr">
        <is>
          <t>Cost of Equity (Ke)</t>
        </is>
      </c>
      <c r="E35" s="10" t="n">
        <v>0.122</v>
      </c>
      <c r="F35" s="41" t="n">
        <v>0.118</v>
      </c>
      <c r="G35" s="10" t="n">
        <v>0.113</v>
      </c>
      <c r="H35" s="76" t="inlineStr">
        <is>
          <t>High</t>
        </is>
      </c>
      <c r="I35" s="73">
        <f> Rf + β × ERP; varies with beta assumption</f>
        <v/>
      </c>
    </row>
    <row r="36" ht="28" customHeight="1">
      <c r="B36" s="74" t="inlineStr">
        <is>
          <t>A31</t>
        </is>
      </c>
      <c r="C36" s="75" t="inlineStr">
        <is>
          <t>WACC</t>
        </is>
      </c>
      <c r="D36" s="5" t="inlineStr">
        <is>
          <t>Pre-Tax Cost of Debt (Kd)</t>
        </is>
      </c>
      <c r="E36" s="10" t="n">
        <v>0.045</v>
      </c>
      <c r="F36" s="41" t="n">
        <v>0.04</v>
      </c>
      <c r="G36" s="10" t="n">
        <v>0.04</v>
      </c>
      <c r="H36" s="77" t="inlineStr">
        <is>
          <t>Low</t>
        </is>
      </c>
      <c r="I36" s="73" t="inlineStr">
        <is>
          <t>Avg coupon rate on Intel long-term debt; relatively stable</t>
        </is>
      </c>
    </row>
    <row r="37" ht="28" customHeight="1">
      <c r="B37" s="74" t="inlineStr">
        <is>
          <t>A32</t>
        </is>
      </c>
      <c r="C37" s="75" t="inlineStr">
        <is>
          <t>WACC</t>
        </is>
      </c>
      <c r="D37" s="5" t="inlineStr">
        <is>
          <t>WACC</t>
        </is>
      </c>
      <c r="E37" s="10" t="n">
        <v>0.12</v>
      </c>
      <c r="F37" s="41" t="n">
        <v>0.117</v>
      </c>
      <c r="G37" s="10" t="n">
        <v>0.111</v>
      </c>
      <c r="H37" s="76" t="inlineStr">
        <is>
          <t>High</t>
        </is>
      </c>
      <c r="I37" s="73">
        <f> E/V × Ke + D/V × Kd × (1–T)</f>
        <v/>
      </c>
    </row>
    <row r="38" ht="28" customHeight="1">
      <c r="B38" s="74" t="inlineStr">
        <is>
          <t>A33</t>
        </is>
      </c>
      <c r="C38" s="75" t="inlineStr">
        <is>
          <t>Terminal Value</t>
        </is>
      </c>
      <c r="D38" s="5" t="inlineStr">
        <is>
          <t>Terminal Growth Rate (TGR)</t>
        </is>
      </c>
      <c r="E38" s="10" t="n">
        <v>0.015</v>
      </c>
      <c r="F38" s="41" t="n">
        <v>0.025</v>
      </c>
      <c r="G38" s="10" t="n">
        <v>0.03</v>
      </c>
      <c r="H38" s="65" t="inlineStr">
        <is>
          <t>Very High</t>
        </is>
      </c>
      <c r="I38" s="73" t="inlineStr">
        <is>
          <t>Long-term nominal GDP growth; semiconductor secular tailwind adds ~50bps</t>
        </is>
      </c>
    </row>
    <row r="39" ht="28" customHeight="1">
      <c r="B39" s="74" t="inlineStr">
        <is>
          <t>A34</t>
        </is>
      </c>
      <c r="C39" s="75" t="inlineStr">
        <is>
          <t>Terminal Value</t>
        </is>
      </c>
      <c r="D39" s="5" t="inlineStr">
        <is>
          <t>Terminal Year FCF ($B)</t>
        </is>
      </c>
      <c r="E39" s="8" t="n">
        <v>9.66</v>
      </c>
      <c r="F39" s="35" t="n">
        <v>17.2</v>
      </c>
      <c r="G39" s="8" t="n">
        <v>25.65</v>
      </c>
      <c r="H39" s="65" t="inlineStr">
        <is>
          <t>Very High</t>
        </is>
      </c>
      <c r="I39" s="73" t="inlineStr">
        <is>
          <t>Highly scenario-dependent; key swing factor in valuation</t>
        </is>
      </c>
    </row>
    <row r="40" ht="28" customHeight="1">
      <c r="B40" s="74" t="inlineStr">
        <is>
          <t>A35</t>
        </is>
      </c>
      <c r="C40" s="75" t="inlineStr">
        <is>
          <t>Terminal Value</t>
        </is>
      </c>
      <c r="D40" s="5" t="inlineStr">
        <is>
          <t>TV as % of Total EV</t>
        </is>
      </c>
      <c r="E40" s="10" t="n">
        <v>0.735</v>
      </c>
      <c r="F40" s="41" t="n">
        <v>0.746</v>
      </c>
      <c r="G40" s="10" t="n">
        <v>0.76</v>
      </c>
      <c r="H40" s="76" t="inlineStr">
        <is>
          <t>High</t>
        </is>
      </c>
      <c r="I40" s="73" t="inlineStr">
        <is>
          <t>All scenarios near ~75% — flag but acceptable for recovery story</t>
        </is>
      </c>
    </row>
    <row r="41" ht="28" customHeight="1">
      <c r="B41" s="74" t="inlineStr">
        <is>
          <t>A36</t>
        </is>
      </c>
      <c r="C41" s="75" t="inlineStr">
        <is>
          <t>Output</t>
        </is>
      </c>
      <c r="D41" s="5" t="inlineStr">
        <is>
          <t>Implied DCF Share Price ($)</t>
        </is>
      </c>
      <c r="E41" s="8" t="n">
        <v>10.47</v>
      </c>
      <c r="F41" s="35" t="n">
        <v>25</v>
      </c>
      <c r="G41" s="8" t="n">
        <v>41.43</v>
      </c>
      <c r="H41" s="78" t="inlineStr">
        <is>
          <t>—</t>
        </is>
      </c>
      <c r="I41" s="73" t="inlineStr">
        <is>
          <t>Bear/Base/Bull case prices; all materially below current $120.29</t>
        </is>
      </c>
    </row>
    <row r="42" ht="28" customHeight="1">
      <c r="B42" s="74" t="inlineStr">
        <is>
          <t>A37</t>
        </is>
      </c>
      <c r="C42" s="75" t="inlineStr">
        <is>
          <t>Output</t>
        </is>
      </c>
      <c r="D42" s="5" t="inlineStr">
        <is>
          <t>EV/EBITDA Comps-implied Price ($)</t>
        </is>
      </c>
      <c r="E42" s="8" t="n">
        <v>52</v>
      </c>
      <c r="F42" s="35" t="n">
        <v>92.7</v>
      </c>
      <c r="G42" s="8" t="n">
        <v>145</v>
      </c>
      <c r="H42" s="78" t="inlineStr">
        <is>
          <t>—</t>
        </is>
      </c>
      <c r="I42" s="73" t="inlineStr">
        <is>
          <t>Peer median 24.9x NTM EBITDA; INTC at discount due to foundry losses</t>
        </is>
      </c>
    </row>
    <row r="43" ht="28" customHeight="1">
      <c r="B43" s="74" t="inlineStr">
        <is>
          <t>A38</t>
        </is>
      </c>
      <c r="C43" s="75" t="inlineStr">
        <is>
          <t>Output</t>
        </is>
      </c>
      <c r="D43" s="5" t="inlineStr">
        <is>
          <t>P/S Comps-implied Price ($)</t>
        </is>
      </c>
      <c r="E43" s="8" t="n">
        <v>80</v>
      </c>
      <c r="F43" s="35" t="n">
        <v>162.7</v>
      </c>
      <c r="G43" s="8" t="n">
        <v>250</v>
      </c>
      <c r="H43" s="78" t="inlineStr">
        <is>
          <t>—</t>
        </is>
      </c>
      <c r="I43" s="73" t="inlineStr">
        <is>
          <t>Peer median 13.9x NTM Revenue; INTC higher due to revenue scale</t>
        </is>
      </c>
    </row>
    <row r="44" ht="28" customHeight="1">
      <c r="B44" s="74" t="inlineStr">
        <is>
          <t>A39</t>
        </is>
      </c>
      <c r="C44" s="75" t="inlineStr">
        <is>
          <t>Output</t>
        </is>
      </c>
      <c r="D44" s="5" t="inlineStr">
        <is>
          <t>Blended Price Target ($)</t>
        </is>
      </c>
      <c r="E44" s="9" t="inlineStr">
        <is>
          <t>—</t>
        </is>
      </c>
      <c r="F44" s="35" t="n">
        <v>87</v>
      </c>
      <c r="G44" s="9" t="inlineStr">
        <is>
          <t>—</t>
        </is>
      </c>
      <c r="H44" s="78" t="inlineStr">
        <is>
          <t>—</t>
        </is>
      </c>
      <c r="I44" s="73" t="inlineStr">
        <is>
          <t>40% DCF + 30% EV/EBITDA + 20% P/S + 10% turnaround; rounded $87</t>
        </is>
      </c>
    </row>
    <row r="47">
      <c r="B47" s="31" t="inlineStr">
        <is>
          <t>Sensitivity Legend: Very High = ±30%+ impact on implied price per $1 change | High = ±15-30% | Med = ±5-15% | Low = &lt;±5%</t>
        </is>
      </c>
    </row>
    <row r="48">
      <c r="B48" s="31" t="inlineStr">
        <is>
          <t>Sources: Intel Q4 2025 earnings, Q1 2026 earnings, 10-K FY2025, consensus estimates, Damodaran ERP, US Treasury. Generated 2026-05-13.</t>
        </is>
      </c>
    </row>
  </sheetData>
  <mergeCells count="2">
    <mergeCell ref="B2:N2"/>
    <mergeCell ref="B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2026-05-13T20:17:26Z</dcterms:created>
  <dcterms:modified xmlns:dcterms="http://purl.org/dc/terms/" xmlns:xsi="http://www.w3.org/2001/XMLSchema-instance" xsi:type="dcterms:W3CDTF">2026-05-13T20:22:50Z</dcterms:modified>
</cp:coreProperties>
</file>