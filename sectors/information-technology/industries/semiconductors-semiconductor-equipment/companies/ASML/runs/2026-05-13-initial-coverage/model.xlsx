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DCF Valuation" sheetId="4" state="visible" r:id="rId4"/>
    <sheet xmlns:r="http://schemas.openxmlformats.org/officeDocument/2006/relationships" name="Comps Table" sheetId="5" state="visible" r:id="rId5"/>
    <sheet xmlns:r="http://schemas.openxmlformats.org/officeDocument/2006/relationships" name="Thesis Tracker" sheetId="6" state="visible" r:id="rId6"/>
    <sheet xmlns:r="http://schemas.openxmlformats.org/officeDocument/2006/relationships" name="DCF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x"/>
  </numFmts>
  <fonts count="2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color rgb="002E75B6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FFC000"/>
      <sz val="10"/>
    </font>
    <font>
      <name val="Calibri"/>
      <b val="1"/>
      <color rgb="00375623"/>
      <sz val="9"/>
    </font>
    <font>
      <name val="Calibri"/>
      <b val="1"/>
      <color rgb="007F6000"/>
      <sz val="9"/>
    </font>
    <font>
      <name val="Calibri"/>
      <b val="1"/>
      <color rgb="0000B050"/>
      <sz val="10"/>
    </font>
    <font>
      <name val="Calibri"/>
      <color rgb="00595959"/>
      <sz val="9"/>
    </font>
    <font>
      <name val="Calibri"/>
      <b val="1"/>
      <color rgb="00FF0000"/>
      <sz val="10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9"/>
    </font>
    <font>
      <name val="Calibri"/>
      <b val="1"/>
      <color rgb="00375623"/>
      <sz val="10"/>
    </font>
  </fonts>
  <fills count="1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00B05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>
        <color rgb="00595959"/>
      </bottom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indent="1"/>
    </xf>
    <xf numFmtId="0" fontId="12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3" fontId="6" fillId="9" borderId="0" applyAlignment="1" pivotButton="0" quotePrefix="0" xfId="0">
      <alignment horizontal="center" vertical="center"/>
    </xf>
    <xf numFmtId="3" fontId="8" fillId="10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3" fontId="5" fillId="9" borderId="1" applyAlignment="1" pivotButton="0" quotePrefix="0" xfId="0">
      <alignment horizontal="center" vertical="center"/>
    </xf>
    <xf numFmtId="0" fontId="5" fillId="11" borderId="1" pivotButton="0" quotePrefix="0" xfId="0"/>
    <xf numFmtId="3" fontId="5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 indent="1"/>
    </xf>
    <xf numFmtId="164" fontId="15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indent="1"/>
    </xf>
    <xf numFmtId="164" fontId="15" fillId="5" borderId="0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3" fontId="6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8" fillId="10" borderId="0" applyAlignment="1" pivotButton="0" quotePrefix="0" xfId="0">
      <alignment horizontal="center" vertical="center"/>
    </xf>
    <xf numFmtId="4" fontId="6" fillId="9" borderId="0" applyAlignment="1" pivotButton="0" quotePrefix="0" xfId="0">
      <alignment horizontal="center" vertical="center"/>
    </xf>
    <xf numFmtId="4" fontId="8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7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3" fontId="8" fillId="4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 indent="1"/>
    </xf>
    <xf numFmtId="3" fontId="5" fillId="11" borderId="0" applyAlignment="1" pivotButton="0" quotePrefix="0" xfId="0">
      <alignment horizontal="center" vertical="center"/>
    </xf>
    <xf numFmtId="0" fontId="0" fillId="11" borderId="0" pivotButton="0" quotePrefix="0" xfId="0"/>
    <xf numFmtId="3" fontId="5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7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18" fillId="1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indent="1"/>
    </xf>
    <xf numFmtId="0" fontId="18" fillId="11" borderId="0" applyAlignment="1" pivotButton="0" quotePrefix="0" xfId="0">
      <alignment horizontal="center" vertical="center"/>
    </xf>
    <xf numFmtId="166" fontId="18" fillId="11" borderId="0" applyAlignment="1" pivotButton="0" quotePrefix="0" xfId="0">
      <alignment horizontal="center" vertical="center"/>
    </xf>
    <xf numFmtId="164" fontId="18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center" vertical="center"/>
    </xf>
    <xf numFmtId="166" fontId="19" fillId="5" borderId="0" applyAlignment="1" pivotButton="0" quotePrefix="0" xfId="0">
      <alignment horizontal="center" vertical="center"/>
    </xf>
    <xf numFmtId="164" fontId="19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 indent="1"/>
    </xf>
    <xf numFmtId="0" fontId="19" fillId="4" borderId="0" applyAlignment="1" pivotButton="0" quotePrefix="0" xfId="0">
      <alignment horizontal="center" vertical="center"/>
    </xf>
    <xf numFmtId="166" fontId="19" fillId="4" borderId="0" applyAlignment="1" pivotButton="0" quotePrefix="0" xfId="0">
      <alignment horizontal="center" vertical="center"/>
    </xf>
    <xf numFmtId="164" fontId="19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 indent="1"/>
    </xf>
    <xf numFmtId="0" fontId="19" fillId="4" borderId="1" applyAlignment="1" pivotButton="0" quotePrefix="0" xfId="0">
      <alignment horizontal="center" vertical="center"/>
    </xf>
    <xf numFmtId="166" fontId="19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indent="1"/>
    </xf>
    <xf numFmtId="0" fontId="5" fillId="11" borderId="0" pivotButton="0" quotePrefix="0" xfId="0"/>
    <xf numFmtId="166" fontId="5" fillId="11" borderId="0" applyAlignment="1" pivotButton="0" quotePrefix="0" xfId="0">
      <alignment horizontal="center" vertical="center"/>
    </xf>
    <xf numFmtId="164" fontId="5" fillId="11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 indent="1"/>
    </xf>
    <xf numFmtId="0" fontId="4" fillId="8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top" wrapText="1" indent="1"/>
    </xf>
    <xf numFmtId="0" fontId="9" fillId="5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 indent="1"/>
    </xf>
    <xf numFmtId="0" fontId="4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top" wrapText="1" indent="1"/>
    </xf>
    <xf numFmtId="0" fontId="20" fillId="6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top" wrapText="1" indent="1"/>
    </xf>
    <xf numFmtId="0" fontId="20" fillId="7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20" fillId="1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 indent="1"/>
    </xf>
    <xf numFmtId="0" fontId="21" fillId="4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 indent="1"/>
    </xf>
    <xf numFmtId="0" fontId="21" fillId="5" borderId="0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6" customHeight="1"/>
    <row r="2">
      <c r="B2" s="1" t="inlineStr">
        <is>
          <t>ASML HOLDING N.V. — INITIATING COVERAGE</t>
        </is>
      </c>
    </row>
    <row r="3">
      <c r="B3" s="2" t="inlineStr">
        <is>
          <t>Equipment — Semiconductors | NASDAQ: ASML | Veldhoven, Netherlands</t>
        </is>
      </c>
    </row>
    <row r="4">
      <c r="B4" s="3" t="inlineStr">
        <is>
          <t>Report Date: May 13, 2026  |  Rating: BUY  |  Price Target: ~$2,100 (USD) / ~€1,950 (EUR)</t>
        </is>
      </c>
    </row>
    <row r="5" ht="6" customHeight="1"/>
    <row r="6" ht="18" customHeight="1">
      <c r="B6" s="4" t="inlineStr">
        <is>
          <t>KEY STOCK METRICS</t>
        </is>
      </c>
    </row>
    <row r="7">
      <c r="B7" s="5" t="inlineStr">
        <is>
          <t>Metric</t>
        </is>
      </c>
      <c r="C7" s="5" t="inlineStr">
        <is>
          <t>Value</t>
        </is>
      </c>
      <c r="D7" s="5" t="n"/>
      <c r="E7" s="5" t="inlineStr">
        <is>
          <t>Metric</t>
        </is>
      </c>
      <c r="F7" s="5" t="inlineStr">
        <is>
          <t>Value</t>
        </is>
      </c>
      <c r="G7" s="5" t="n"/>
      <c r="H7" s="5" t="n"/>
    </row>
    <row r="8" ht="16" customHeight="1">
      <c r="B8" s="6" t="inlineStr">
        <is>
          <t>Current Price (USD)</t>
        </is>
      </c>
      <c r="C8" s="7" t="inlineStr">
        <is>
          <t>$1,581.58</t>
        </is>
      </c>
      <c r="D8" s="8" t="n"/>
      <c r="E8" s="6" t="inlineStr">
        <is>
          <t>Price Target (USD)</t>
        </is>
      </c>
      <c r="F8" s="7" t="inlineStr">
        <is>
          <t>~$2,100</t>
        </is>
      </c>
      <c r="G8" s="8" t="n"/>
      <c r="H8" s="8" t="n"/>
    </row>
    <row r="9" ht="16" customHeight="1">
      <c r="B9" s="9" t="inlineStr">
        <is>
          <t>Upside / Downside</t>
        </is>
      </c>
      <c r="C9" s="10" t="inlineStr">
        <is>
          <t>+32.8%</t>
        </is>
      </c>
      <c r="D9" s="11" t="n"/>
      <c r="E9" s="9" t="inlineStr">
        <is>
          <t>Rating</t>
        </is>
      </c>
      <c r="F9" s="10" t="inlineStr">
        <is>
          <t>BUY</t>
        </is>
      </c>
      <c r="G9" s="11" t="n"/>
      <c r="H9" s="11" t="n"/>
    </row>
    <row r="10" ht="16" customHeight="1">
      <c r="B10" s="6" t="inlineStr">
        <is>
          <t>Market Cap</t>
        </is>
      </c>
      <c r="C10" s="7" t="inlineStr">
        <is>
          <t>~€609bn</t>
        </is>
      </c>
      <c r="D10" s="8" t="n"/>
      <c r="E10" s="6" t="inlineStr">
        <is>
          <t>Enterprise Value</t>
        </is>
      </c>
      <c r="F10" s="7" t="inlineStr">
        <is>
          <t>~€595bn</t>
        </is>
      </c>
      <c r="G10" s="8" t="n"/>
      <c r="H10" s="8" t="n"/>
    </row>
    <row r="11" ht="16" customHeight="1">
      <c r="B11" s="9" t="inlineStr">
        <is>
          <t>52-Week Range (USD)</t>
        </is>
      </c>
      <c r="C11" s="10" t="inlineStr">
        <is>
          <t>$608 – $1,030</t>
        </is>
      </c>
      <c r="D11" s="11" t="n"/>
      <c r="E11" s="9" t="inlineStr">
        <is>
          <t>Net Cash (approx)</t>
        </is>
      </c>
      <c r="F11" s="10" t="inlineStr">
        <is>
          <t>€9bn net cash</t>
        </is>
      </c>
      <c r="G11" s="11" t="n"/>
      <c r="H11" s="11" t="n"/>
    </row>
    <row r="12" ht="16" customHeight="1">
      <c r="B12" s="6" t="inlineStr">
        <is>
          <t>FY2025 Revenue</t>
        </is>
      </c>
      <c r="C12" s="7" t="inlineStr">
        <is>
          <t>€32.7bn</t>
        </is>
      </c>
      <c r="D12" s="8" t="n"/>
      <c r="E12" s="6" t="inlineStr">
        <is>
          <t>FY2025 Gross Margin</t>
        </is>
      </c>
      <c r="F12" s="7" t="inlineStr">
        <is>
          <t>52.8%</t>
        </is>
      </c>
      <c r="G12" s="8" t="n"/>
      <c r="H12" s="8" t="n"/>
    </row>
    <row r="13" ht="16" customHeight="1">
      <c r="B13" s="9" t="inlineStr">
        <is>
          <t>FY2025 EBITDA</t>
        </is>
      </c>
      <c r="C13" s="10" t="inlineStr">
        <is>
          <t>€13.5bn</t>
        </is>
      </c>
      <c r="D13" s="11" t="n"/>
      <c r="E13" s="9" t="inlineStr">
        <is>
          <t>FY2025 EBITDA Margin</t>
        </is>
      </c>
      <c r="F13" s="10" t="inlineStr">
        <is>
          <t>41.3%</t>
        </is>
      </c>
      <c r="G13" s="11" t="n"/>
      <c r="H13" s="11" t="n"/>
    </row>
    <row r="14" ht="16" customHeight="1">
      <c r="B14" s="6" t="inlineStr">
        <is>
          <t>FY2025 Adj. EPS</t>
        </is>
      </c>
      <c r="C14" s="7" t="inlineStr">
        <is>
          <t>€26.26</t>
        </is>
      </c>
      <c r="D14" s="8" t="n"/>
      <c r="E14" s="6" t="inlineStr">
        <is>
          <t>FY2026E Revenue Guidance</t>
        </is>
      </c>
      <c r="F14" s="7" t="inlineStr">
        <is>
          <t>€36–40bn</t>
        </is>
      </c>
      <c r="G14" s="8" t="n"/>
      <c r="H14" s="8" t="n"/>
    </row>
    <row r="15" ht="16" customHeight="1">
      <c r="B15" s="9" t="inlineStr">
        <is>
          <t>2030 Revenue Target</t>
        </is>
      </c>
      <c r="C15" s="10" t="inlineStr">
        <is>
          <t>€44–60bn</t>
        </is>
      </c>
      <c r="D15" s="11" t="n"/>
      <c r="E15" s="9" t="inlineStr">
        <is>
          <t>2030 Gross Margin Target</t>
        </is>
      </c>
      <c r="F15" s="10" t="inlineStr">
        <is>
          <t>56–60%</t>
        </is>
      </c>
      <c r="G15" s="11" t="n"/>
      <c r="H15" s="11" t="n"/>
    </row>
    <row r="16" ht="16" customHeight="1">
      <c r="B16" s="6" t="inlineStr">
        <is>
          <t>EUV Order Backlog</t>
        </is>
      </c>
      <c r="C16" s="7" t="inlineStr">
        <is>
          <t>€38.8bn</t>
        </is>
      </c>
      <c r="D16" s="8" t="n"/>
      <c r="E16" s="6" t="inlineStr">
        <is>
          <t>EUV Systems Delivered FY2025</t>
        </is>
      </c>
      <c r="F16" s="7" t="inlineStr">
        <is>
          <t>48 units</t>
        </is>
      </c>
      <c r="G16" s="8" t="n"/>
      <c r="H16" s="8" t="n"/>
    </row>
    <row r="17" ht="16" customHeight="1">
      <c r="B17" s="12" t="inlineStr">
        <is>
          <t>Employees</t>
        </is>
      </c>
      <c r="C17" s="13" t="inlineStr">
        <is>
          <t>43,129</t>
        </is>
      </c>
      <c r="D17" s="14" t="n"/>
      <c r="E17" s="12" t="inlineStr">
        <is>
          <t>IPO Date</t>
        </is>
      </c>
      <c r="F17" s="13" t="inlineStr">
        <is>
          <t>1995</t>
        </is>
      </c>
      <c r="G17" s="14" t="n"/>
      <c r="H17" s="14" t="n"/>
    </row>
    <row r="18" ht="8" customHeight="1"/>
    <row r="19" ht="18" customHeight="1">
      <c r="B19" s="4" t="inlineStr">
        <is>
          <t>INVESTMENT THESIS — 5 PILLARS</t>
        </is>
      </c>
    </row>
    <row r="20">
      <c r="B20" s="5" t="inlineStr">
        <is>
          <t>#</t>
        </is>
      </c>
      <c r="C20" s="5" t="inlineStr">
        <is>
          <t>Pillar</t>
        </is>
      </c>
      <c r="D20" s="5" t="inlineStr">
        <is>
          <t>Detail</t>
        </is>
      </c>
    </row>
    <row r="21" ht="48" customHeight="1">
      <c r="B21" s="15" t="inlineStr">
        <is>
          <t>1</t>
        </is>
      </c>
      <c r="C21" s="16" t="inlineStr">
        <is>
          <t>EUV MONOPOLY</t>
        </is>
      </c>
      <c r="D21" s="17" t="inlineStr">
        <is>
          <t>ASML is the sole global producer of EUV lithography systems required for every chip below 7nm. Nikon and Canon exited EUV; a competitive threat would require 20+ years and $9bn+ in R&amp;D to replicate. This is the deepest structural moat in the semiconductor supply chain.</t>
        </is>
      </c>
    </row>
    <row r="22" ht="48" customHeight="1">
      <c r="B22" s="18" t="inlineStr">
        <is>
          <t>2</t>
        </is>
      </c>
      <c r="C22" s="19" t="inlineStr">
        <is>
          <t>HIGH-NA UPCYCLE</t>
        </is>
      </c>
      <c r="D22" s="20" t="inlineStr">
        <is>
          <t>Transition to High-NA EUV (EXE:5000/5200 at ~€380M/unit vs. Low-NA at ~€180M) drives material ASP and revenue expansion. First EXE:5200 production units ship in 2026 to Intel (14A), TSMC, and Samsung for 2nm-class nodes.</t>
        </is>
      </c>
    </row>
    <row r="23" ht="48" customHeight="1">
      <c r="B23" s="15" t="inlineStr">
        <is>
          <t>3</t>
        </is>
      </c>
      <c r="C23" s="16" t="inlineStr">
        <is>
          <t>AI-DRIVEN CAPEX</t>
        </is>
      </c>
      <c r="D23" s="17" t="inlineStr">
        <is>
          <t>AI infrastructure buildout is a structural multi-year driver. Logic customers accounted for 70% of 2025 system sales. Backlog of €38.8bn covers full 2026 guidance and EUV capacity through end-2027, giving exceptional revenue visibility.</t>
        </is>
      </c>
    </row>
    <row r="24" ht="48" customHeight="1">
      <c r="B24" s="18" t="inlineStr">
        <is>
          <t>4</t>
        </is>
      </c>
      <c r="C24" s="19" t="inlineStr">
        <is>
          <t>SERVICES RAMP</t>
        </is>
      </c>
      <c r="D24" s="20" t="inlineStr">
        <is>
          <t>Service &amp; field option revenues (€8.2bn in 2025, +26% YoY) are ~25% of total revenue with higher margins than systems. As the installed EUV base grows toward 1,000+ units, annuity-like services will compound and reduce earnings cyclicality.</t>
        </is>
      </c>
    </row>
    <row r="25" ht="48" customHeight="1">
      <c r="B25" s="21" t="inlineStr">
        <is>
          <t>5</t>
        </is>
      </c>
      <c r="C25" s="22" t="inlineStr">
        <is>
          <t>2030 ROADMAP</t>
        </is>
      </c>
      <c r="D25" s="23" t="inlineStr">
        <is>
          <t>Management targets €44–60bn revenue with 56–60% gross margins by 2030 (8–14% CAGR), driven by HBM/DRAM node transitions, advanced Logic scaling, and High-NA volume ramp. Morningstar forecasts the high end (~€60bn).</t>
        </is>
      </c>
      <c r="E25" s="24" t="n"/>
      <c r="F25" s="24" t="n"/>
      <c r="G25" s="24" t="n"/>
      <c r="H25" s="24" t="n"/>
    </row>
    <row r="26" ht="8" customHeight="1"/>
    <row r="27" ht="18" customHeight="1">
      <c r="B27" s="4" t="inlineStr">
        <is>
          <t>KEY FINANCIALS SNAPSHOT (€ millions, US GAAP)</t>
        </is>
      </c>
    </row>
    <row r="28">
      <c r="B28" s="5" t="inlineStr">
        <is>
          <t>Metric</t>
        </is>
      </c>
      <c r="C28" s="5" t="inlineStr">
        <is>
          <t>FY2021A</t>
        </is>
      </c>
      <c r="D28" s="5" t="inlineStr">
        <is>
          <t>FY2022A</t>
        </is>
      </c>
      <c r="E28" s="5" t="inlineStr">
        <is>
          <t>FY2023A</t>
        </is>
      </c>
      <c r="F28" s="5" t="inlineStr">
        <is>
          <t>FY2024A</t>
        </is>
      </c>
      <c r="G28" s="5" t="inlineStr">
        <is>
          <t>FY2025A</t>
        </is>
      </c>
      <c r="H28" s="5" t="inlineStr">
        <is>
          <t>FY2026E</t>
        </is>
      </c>
    </row>
    <row r="29" ht="16" customHeight="1">
      <c r="B29" s="6" t="inlineStr">
        <is>
          <t>Revenue</t>
        </is>
      </c>
      <c r="C29" s="25" t="n">
        <v>18611</v>
      </c>
      <c r="D29" s="25" t="n">
        <v>25744</v>
      </c>
      <c r="E29" s="25" t="n">
        <v>27559</v>
      </c>
      <c r="F29" s="25" t="n">
        <v>28263</v>
      </c>
      <c r="G29" s="25" t="n">
        <v>32667</v>
      </c>
      <c r="H29" s="25" t="n">
        <v>38000</v>
      </c>
    </row>
    <row r="30" ht="16" customHeight="1">
      <c r="B30" s="9" t="inlineStr">
        <is>
          <t>Revenue Growth</t>
        </is>
      </c>
      <c r="C30" s="26" t="inlineStr">
        <is>
          <t>N/A</t>
        </is>
      </c>
      <c r="D30" s="26" t="inlineStr">
        <is>
          <t>38.3%</t>
        </is>
      </c>
      <c r="E30" s="26" t="inlineStr">
        <is>
          <t>7.1%</t>
        </is>
      </c>
      <c r="F30" s="26" t="inlineStr">
        <is>
          <t>2.6%</t>
        </is>
      </c>
      <c r="G30" s="26" t="inlineStr">
        <is>
          <t>15.6%</t>
        </is>
      </c>
      <c r="H30" s="26" t="inlineStr">
        <is>
          <t>~16.3%</t>
        </is>
      </c>
    </row>
    <row r="31" ht="16" customHeight="1">
      <c r="B31" s="6" t="inlineStr">
        <is>
          <t>Gross Profit</t>
        </is>
      </c>
      <c r="C31" s="25" t="n">
        <v>9809</v>
      </c>
      <c r="D31" s="25" t="n">
        <v>10513</v>
      </c>
      <c r="E31" s="25" t="n">
        <v>13774</v>
      </c>
      <c r="F31" s="25" t="n">
        <v>14284</v>
      </c>
      <c r="G31" s="25" t="n">
        <v>16931</v>
      </c>
      <c r="H31" s="25" t="n">
        <v>19570</v>
      </c>
    </row>
    <row r="32" ht="16" customHeight="1">
      <c r="B32" s="9" t="inlineStr">
        <is>
          <t>Gross Margin</t>
        </is>
      </c>
      <c r="C32" s="26" t="inlineStr">
        <is>
          <t>52.7%</t>
        </is>
      </c>
      <c r="D32" s="26" t="inlineStr">
        <is>
          <t>49.7%</t>
        </is>
      </c>
      <c r="E32" s="26" t="inlineStr">
        <is>
          <t>50.0%</t>
        </is>
      </c>
      <c r="F32" s="26" t="inlineStr">
        <is>
          <t>50.5%</t>
        </is>
      </c>
      <c r="G32" s="26" t="inlineStr">
        <is>
          <t>51.8%</t>
        </is>
      </c>
      <c r="H32" s="26" t="inlineStr">
        <is>
          <t>~51.5%</t>
        </is>
      </c>
    </row>
    <row r="33" ht="16" customHeight="1">
      <c r="B33" s="6" t="inlineStr">
        <is>
          <t>Adj. EBITDA</t>
        </is>
      </c>
      <c r="C33" s="25" t="n">
        <v>7221</v>
      </c>
      <c r="D33" s="25" t="n">
        <v>8197</v>
      </c>
      <c r="E33" s="25" t="n">
        <v>10559</v>
      </c>
      <c r="F33" s="25" t="n">
        <v>11137</v>
      </c>
      <c r="G33" s="25" t="n">
        <v>13487</v>
      </c>
      <c r="H33" s="25" t="n">
        <v>16700</v>
      </c>
    </row>
    <row r="34" ht="16" customHeight="1">
      <c r="B34" s="9" t="inlineStr">
        <is>
          <t>Adj. EBITDA Margin</t>
        </is>
      </c>
      <c r="C34" s="26" t="inlineStr">
        <is>
          <t>38.8%</t>
        </is>
      </c>
      <c r="D34" s="26" t="inlineStr">
        <is>
          <t>38.7%</t>
        </is>
      </c>
      <c r="E34" s="26" t="inlineStr">
        <is>
          <t>38.3%</t>
        </is>
      </c>
      <c r="F34" s="26" t="inlineStr">
        <is>
          <t>39.4%</t>
        </is>
      </c>
      <c r="G34" s="26" t="inlineStr">
        <is>
          <t>41.3%</t>
        </is>
      </c>
      <c r="H34" s="26" t="inlineStr">
        <is>
          <t>~44.0%</t>
        </is>
      </c>
    </row>
    <row r="35" ht="16" customHeight="1">
      <c r="B35" s="6" t="inlineStr">
        <is>
          <t>Net Income</t>
        </is>
      </c>
      <c r="C35" s="25" t="n">
        <v>5883</v>
      </c>
      <c r="D35" s="25" t="n">
        <v>6396</v>
      </c>
      <c r="E35" s="25" t="n">
        <v>8115</v>
      </c>
      <c r="F35" s="25" t="n">
        <v>8349</v>
      </c>
      <c r="G35" s="25" t="n">
        <v>10213</v>
      </c>
      <c r="H35" s="25" t="n">
        <v>12200</v>
      </c>
    </row>
    <row r="36" ht="16" customHeight="1">
      <c r="B36" s="9" t="inlineStr">
        <is>
          <t>Net Margin</t>
        </is>
      </c>
      <c r="C36" s="26" t="inlineStr">
        <is>
          <t>30.5%</t>
        </is>
      </c>
      <c r="D36" s="26" t="inlineStr">
        <is>
          <t>29.6%</t>
        </is>
      </c>
      <c r="E36" s="26" t="inlineStr">
        <is>
          <t>28.8%</t>
        </is>
      </c>
      <c r="F36" s="26" t="inlineStr">
        <is>
          <t>28.8%</t>
        </is>
      </c>
      <c r="G36" s="26" t="inlineStr">
        <is>
          <t>30.6%</t>
        </is>
      </c>
      <c r="H36" s="26" t="inlineStr">
        <is>
          <t>~32.1%</t>
        </is>
      </c>
    </row>
    <row r="37" ht="16" customHeight="1">
      <c r="B37" s="6" t="inlineStr">
        <is>
          <t>Adj. EPS (€)</t>
        </is>
      </c>
      <c r="C37" s="27" t="n">
        <v>14.34</v>
      </c>
      <c r="D37" s="27" t="n">
        <v>16.07</v>
      </c>
      <c r="E37" s="27" t="n">
        <v>20.59</v>
      </c>
      <c r="F37" s="27" t="n">
        <v>21.21</v>
      </c>
      <c r="G37" s="27" t="n">
        <v>26.26</v>
      </c>
      <c r="H37" s="27" t="n">
        <v>31</v>
      </c>
    </row>
    <row r="38" ht="16" customHeight="1">
      <c r="B38" s="9" t="inlineStr">
        <is>
          <t>FCF</t>
        </is>
      </c>
      <c r="C38" s="28" t="n">
        <v>9325</v>
      </c>
      <c r="D38" s="28" t="n">
        <v>8153</v>
      </c>
      <c r="E38" s="28" t="n">
        <v>4381</v>
      </c>
      <c r="F38" s="28" t="n">
        <v>10303</v>
      </c>
      <c r="G38" s="28" t="n">
        <v>12253</v>
      </c>
      <c r="H38" s="28" t="n">
        <v>13000</v>
      </c>
    </row>
    <row r="39" ht="16" customHeight="1">
      <c r="B39" s="6" t="inlineStr">
        <is>
          <t>FCF Margin</t>
        </is>
      </c>
      <c r="C39" s="29" t="inlineStr">
        <is>
          <t>50.1%</t>
        </is>
      </c>
      <c r="D39" s="29" t="inlineStr">
        <is>
          <t>38.5%</t>
        </is>
      </c>
      <c r="E39" s="29" t="inlineStr">
        <is>
          <t>15.9%</t>
        </is>
      </c>
      <c r="F39" s="29" t="inlineStr">
        <is>
          <t>36.5%</t>
        </is>
      </c>
      <c r="G39" s="29" t="inlineStr">
        <is>
          <t>37.5%</t>
        </is>
      </c>
      <c r="H39" s="29" t="inlineStr">
        <is>
          <t>~34.2%</t>
        </is>
      </c>
    </row>
    <row r="40" ht="16" customHeight="1">
      <c r="B40" s="12" t="inlineStr">
        <is>
          <t>CapEx</t>
        </is>
      </c>
      <c r="C40" s="30" t="n">
        <v>901</v>
      </c>
      <c r="D40" s="30" t="n">
        <v>1282</v>
      </c>
      <c r="E40" s="30" t="n">
        <v>2156</v>
      </c>
      <c r="F40" s="30" t="n">
        <v>2067</v>
      </c>
      <c r="G40" s="30" t="n">
        <v>1574</v>
      </c>
      <c r="H40" s="30" t="n">
        <v>1800</v>
      </c>
    </row>
    <row r="41" ht="8" customHeight="1"/>
    <row r="42" ht="18" customHeight="1">
      <c r="B42" s="4" t="inlineStr">
        <is>
          <t>KEY RISKS</t>
        </is>
      </c>
    </row>
    <row r="43">
      <c r="B43" s="5" t="inlineStr">
        <is>
          <t>Risk Factor</t>
        </is>
      </c>
      <c r="C43" s="5" t="inlineStr">
        <is>
          <t>Severity</t>
        </is>
      </c>
      <c r="D43" s="5" t="inlineStr">
        <is>
          <t>Description</t>
        </is>
      </c>
    </row>
    <row r="44" ht="36" customHeight="1">
      <c r="B44" s="6" t="inlineStr">
        <is>
          <t>China Export Controls</t>
        </is>
      </c>
      <c r="C44" s="31" t="inlineStr">
        <is>
          <t>HIGH</t>
        </is>
      </c>
      <c r="D44" s="17" t="inlineStr">
        <is>
          <t>China fell to 19% of Q1 2026 system sales (from 36% in Q4 2025). MATCH Act proposes further DUV immersion restrictions. China was 33% of 2025 revenues.</t>
        </is>
      </c>
    </row>
    <row r="45" ht="36" customHeight="1">
      <c r="B45" s="9" t="inlineStr">
        <is>
          <t>Semi Capex Cycle Downturn</t>
        </is>
      </c>
      <c r="C45" s="32" t="inlineStr">
        <is>
          <t>MEDIUM</t>
        </is>
      </c>
      <c r="D45" s="20" t="inlineStr">
        <is>
          <t>Equipment demand lags chipmaker capex by 12-18 months. An AI capex pullback could defer ASML orders 1-2 years and compress utilization.</t>
        </is>
      </c>
    </row>
    <row r="46" ht="36" customHeight="1">
      <c r="B46" s="6" t="inlineStr">
        <is>
          <t>High-NA Adoption Pace</t>
        </is>
      </c>
      <c r="C46" s="32" t="inlineStr">
        <is>
          <t>MEDIUM</t>
        </is>
      </c>
      <c r="D46" s="17" t="inlineStr">
        <is>
          <t>TSMC deferred some High-NA EXE decisions. Slower ramp delays the €380M/unit ASP uplift versus Low-NA systems at €180M.</t>
        </is>
      </c>
    </row>
    <row r="47" ht="36" customHeight="1">
      <c r="B47" s="9" t="inlineStr">
        <is>
          <t>FX Risk (USD/EUR)</t>
        </is>
      </c>
      <c r="C47" s="32" t="inlineStr">
        <is>
          <t>MEDIUM</t>
        </is>
      </c>
      <c r="D47" s="20" t="inlineStr">
        <is>
          <t>ASML reports in EUR but trades on Nasdaq in USD. EUR strengthening can compress USD-denominated investor returns by 5-10% in any given year.</t>
        </is>
      </c>
    </row>
    <row r="48" ht="36" customHeight="1">
      <c r="B48" s="33" t="inlineStr">
        <is>
          <t>xLight / Competitor Risk</t>
        </is>
      </c>
      <c r="C48" s="34" t="inlineStr">
        <is>
          <t>LOW</t>
        </is>
      </c>
      <c r="D48" s="23" t="inlineStr">
        <is>
          <t>US government-funded free-electron laser startup targets EUV light source. No full-system roadmap; commercial competition unlikely before 2030.</t>
        </is>
      </c>
      <c r="E48" s="24" t="n"/>
      <c r="F48" s="24" t="n"/>
      <c r="G48" s="24" t="n"/>
      <c r="H48" s="24" t="n"/>
    </row>
    <row r="50">
      <c r="B50" s="35" t="inlineStr">
        <is>
          <t>Source: ASML Company Filings, Q1 2026 Earnings, Investor Day 2024, Semiconductor Research Primer (May 2026). All financials in EUR millions unless noted.</t>
        </is>
      </c>
    </row>
  </sheetData>
  <mergeCells count="20">
    <mergeCell ref="D20:H20"/>
    <mergeCell ref="B6:H6"/>
    <mergeCell ref="D46:H46"/>
    <mergeCell ref="D22:H22"/>
    <mergeCell ref="D45:H45"/>
    <mergeCell ref="D21:H21"/>
    <mergeCell ref="B50:H50"/>
    <mergeCell ref="B4:H4"/>
    <mergeCell ref="B3:H3"/>
    <mergeCell ref="D48:H48"/>
    <mergeCell ref="D47:H47"/>
    <mergeCell ref="B27:H27"/>
    <mergeCell ref="D43:H43"/>
    <mergeCell ref="B2:H2"/>
    <mergeCell ref="B42:H42"/>
    <mergeCell ref="D25:H25"/>
    <mergeCell ref="D24:H24"/>
    <mergeCell ref="D23:H23"/>
    <mergeCell ref="B19:H19"/>
    <mergeCell ref="D44:H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</cols>
  <sheetData>
    <row r="1" ht="6" customHeight="1"/>
    <row r="2">
      <c r="B2" s="1" t="inlineStr">
        <is>
          <t>ASML HOLDING N.V. — SEGMENT REVENUE MODEL (€ millions)</t>
        </is>
      </c>
    </row>
    <row r="3">
      <c r="B3" s="36" t="inlineStr">
        <is>
          <t>Historical: FY2021A–FY2025A  |  Projected: FY2026E–FY2030E  |  Base Case shown; Bull/Bear in shaded columns</t>
        </is>
      </c>
    </row>
    <row r="4">
      <c r="C4" s="37" t="inlineStr">
        <is>
          <t>HISTORICAL</t>
        </is>
      </c>
      <c r="I4" s="38" t="inlineStr">
        <is>
          <t>PROJECTED (BASE CASE)</t>
        </is>
      </c>
    </row>
    <row r="5">
      <c r="B5" s="5" t="inlineStr">
        <is>
          <t>Segment / Metric</t>
        </is>
      </c>
      <c r="C5" s="5" t="inlineStr">
        <is>
          <t>FY2021A</t>
        </is>
      </c>
      <c r="D5" s="5" t="inlineStr">
        <is>
          <t>FY2022A</t>
        </is>
      </c>
      <c r="E5" s="5" t="inlineStr">
        <is>
          <t>FY2023A</t>
        </is>
      </c>
      <c r="F5" s="5" t="inlineStr">
        <is>
          <t>FY2024A</t>
        </is>
      </c>
      <c r="G5" s="5" t="inlineStr">
        <is>
          <t>FY2025A</t>
        </is>
      </c>
      <c r="H5" s="5" t="inlineStr"/>
      <c r="I5" s="39" t="inlineStr">
        <is>
          <t>FY2026E</t>
        </is>
      </c>
      <c r="J5" s="39" t="inlineStr">
        <is>
          <t>FY2027E</t>
        </is>
      </c>
      <c r="K5" s="39" t="inlineStr">
        <is>
          <t>FY2028E</t>
        </is>
      </c>
      <c r="L5" s="39" t="inlineStr">
        <is>
          <t>FY2029E</t>
        </is>
      </c>
      <c r="M5" s="39" t="inlineStr">
        <is>
          <t>FY2030E</t>
        </is>
      </c>
    </row>
    <row r="6" ht="16" customHeight="1">
      <c r="B6" s="4" t="inlineStr">
        <is>
          <t>REVENUE BY SEGMENT (€ millions)</t>
        </is>
      </c>
    </row>
    <row r="7" ht="15" customHeight="1">
      <c r="B7" s="40" t="inlineStr">
        <is>
          <t>EUV Systems</t>
        </is>
      </c>
      <c r="C7" s="41" t="n">
        <v>5500</v>
      </c>
      <c r="D7" s="41" t="n">
        <v>8400</v>
      </c>
      <c r="E7" s="41" t="n">
        <v>8300</v>
      </c>
      <c r="F7" s="41" t="n">
        <v>8400</v>
      </c>
      <c r="G7" s="41" t="n">
        <v>11600</v>
      </c>
      <c r="I7" s="42">
        <f>G7*(1+0.28)</f>
        <v/>
      </c>
      <c r="J7" s="42">
        <f>I7*(1+0.22)</f>
        <v/>
      </c>
      <c r="K7" s="42">
        <f>J7*(1+0.18)</f>
        <v/>
      </c>
      <c r="L7" s="42">
        <f>K7*(1+0.15)</f>
        <v/>
      </c>
      <c r="M7" s="42">
        <f>L7*(1+0.12)</f>
        <v/>
      </c>
    </row>
    <row r="8" ht="15" customHeight="1">
      <c r="B8" s="40" t="inlineStr">
        <is>
          <t>DUV Systems</t>
        </is>
      </c>
      <c r="C8" s="41" t="n">
        <v>9000</v>
      </c>
      <c r="D8" s="41" t="n">
        <v>11500</v>
      </c>
      <c r="E8" s="41" t="n">
        <v>12700</v>
      </c>
      <c r="F8" s="41" t="n">
        <v>13100</v>
      </c>
      <c r="G8" s="41" t="n">
        <v>12000</v>
      </c>
      <c r="I8" s="42">
        <f>G8*(1+-0.05)</f>
        <v/>
      </c>
      <c r="J8" s="42">
        <f>I8*(1+0.03)</f>
        <v/>
      </c>
      <c r="K8" s="42">
        <f>J8*(1+0.05)</f>
        <v/>
      </c>
      <c r="L8" s="42">
        <f>K8*(1+0.05)</f>
        <v/>
      </c>
      <c r="M8" s="42">
        <f>L8*(1+0.05)</f>
        <v/>
      </c>
    </row>
    <row r="9" ht="15" customHeight="1">
      <c r="B9" s="40" t="inlineStr">
        <is>
          <t>Metrology &amp; Inspection</t>
        </is>
      </c>
      <c r="C9" s="41" t="n">
        <v>600</v>
      </c>
      <c r="D9" s="41" t="n">
        <v>600</v>
      </c>
      <c r="E9" s="41" t="n">
        <v>600</v>
      </c>
      <c r="F9" s="41" t="n">
        <v>500</v>
      </c>
      <c r="G9" s="41" t="n">
        <v>900</v>
      </c>
      <c r="I9" s="42">
        <f>G9*(1+0.10)</f>
        <v/>
      </c>
      <c r="J9" s="42">
        <f>I9*(1+0.10)</f>
        <v/>
      </c>
      <c r="K9" s="42">
        <f>J9*(1+0.10)</f>
        <v/>
      </c>
      <c r="L9" s="42">
        <f>K9*(1+0.10)</f>
        <v/>
      </c>
      <c r="M9" s="42">
        <f>L9*(1+0.08)</f>
        <v/>
      </c>
    </row>
    <row r="10" ht="15" customHeight="1">
      <c r="B10" s="40" t="inlineStr">
        <is>
          <t>Services &amp; Field Options</t>
        </is>
      </c>
      <c r="C10" s="41" t="n">
        <v>3500</v>
      </c>
      <c r="D10" s="41" t="n">
        <v>5200</v>
      </c>
      <c r="E10" s="41" t="n">
        <v>5900</v>
      </c>
      <c r="F10" s="41" t="n">
        <v>6500</v>
      </c>
      <c r="G10" s="41" t="n">
        <v>8200</v>
      </c>
      <c r="I10" s="42">
        <f>G10*(1+0.18)</f>
        <v/>
      </c>
      <c r="J10" s="42">
        <f>I10*(1+0.15)</f>
        <v/>
      </c>
      <c r="K10" s="42">
        <f>J10*(1+0.12)</f>
        <v/>
      </c>
      <c r="L10" s="42">
        <f>K10*(1+0.10)</f>
        <v/>
      </c>
      <c r="M10" s="42">
        <f>L10*(1+0.10)</f>
        <v/>
      </c>
    </row>
    <row r="11" ht="16" customHeight="1">
      <c r="B11" s="43" t="inlineStr">
        <is>
          <t>TOTAL NET SALES</t>
        </is>
      </c>
      <c r="C11" s="44">
        <f>SUM(C7,C8,C9,C10)</f>
        <v/>
      </c>
      <c r="D11" s="44">
        <f>SUM(D7,D8,D9,D10)</f>
        <v/>
      </c>
      <c r="E11" s="44">
        <f>SUM(E7,E8,E9,E10)</f>
        <v/>
      </c>
      <c r="F11" s="44">
        <f>SUM(F7,F8,F9,F10)</f>
        <v/>
      </c>
      <c r="G11" s="44">
        <f>SUM(G7,G8,G9,G10)</f>
        <v/>
      </c>
      <c r="H11" s="45" t="n"/>
      <c r="I11" s="46">
        <f>SUM(I7,I8,I9,I10)</f>
        <v/>
      </c>
      <c r="J11" s="46">
        <f>SUM(J7,J8,J9,J10)</f>
        <v/>
      </c>
      <c r="K11" s="46">
        <f>SUM(K7,K8,K9,K10)</f>
        <v/>
      </c>
      <c r="L11" s="46">
        <f>SUM(L7,L8,L9,L10)</f>
        <v/>
      </c>
      <c r="M11" s="46">
        <f>SUM(M7,M8,M9,M10)</f>
        <v/>
      </c>
    </row>
    <row r="12" ht="6" customHeight="1"/>
    <row r="13">
      <c r="B13" s="47" t="inlineStr">
        <is>
          <t>YoY Growth</t>
        </is>
      </c>
      <c r="C13" s="48" t="inlineStr">
        <is>
          <t>N/A</t>
        </is>
      </c>
      <c r="D13" s="49">
        <f>(D11-C11)/C11</f>
        <v/>
      </c>
      <c r="E13" s="49">
        <f>(E11-D11)/D11</f>
        <v/>
      </c>
      <c r="F13" s="49">
        <f>(F11-E11)/E11</f>
        <v/>
      </c>
      <c r="G13" s="49">
        <f>(G11-F11)/F11</f>
        <v/>
      </c>
      <c r="H13" s="24" t="n"/>
      <c r="I13" s="50">
        <f>(I11-G11)/G11</f>
        <v/>
      </c>
      <c r="J13" s="50">
        <f>(J11-I11)/I11</f>
        <v/>
      </c>
      <c r="K13" s="50">
        <f>(K11-J11)/J11</f>
        <v/>
      </c>
      <c r="L13" s="50">
        <f>(L11-K11)/K11</f>
        <v/>
      </c>
      <c r="M13" s="50">
        <f>(M11-L11)/L11</f>
        <v/>
      </c>
    </row>
    <row r="14" ht="8" customHeight="1"/>
    <row r="15" ht="16" customHeight="1">
      <c r="B15" s="4" t="inlineStr">
        <is>
          <t>SCENARIO ANALYSIS — TOTAL REVENUE PROJECTIONS (€ millions)</t>
        </is>
      </c>
    </row>
    <row r="16">
      <c r="B16" s="5" t="inlineStr">
        <is>
          <t>Scenario</t>
        </is>
      </c>
      <c r="C16" s="5" t="inlineStr">
        <is>
          <t>FY2026E</t>
        </is>
      </c>
      <c r="D16" s="5" t="inlineStr">
        <is>
          <t>FY2027E</t>
        </is>
      </c>
      <c r="E16" s="5" t="inlineStr">
        <is>
          <t>FY2028E</t>
        </is>
      </c>
      <c r="F16" s="5" t="inlineStr">
        <is>
          <t>FY2029E</t>
        </is>
      </c>
      <c r="G16" s="5" t="inlineStr">
        <is>
          <t>FY2030E</t>
        </is>
      </c>
      <c r="H16" s="5" t="inlineStr"/>
      <c r="I16" s="5" t="inlineStr">
        <is>
          <t>CAGR 2025-30</t>
        </is>
      </c>
      <c r="J16" s="5" t="n"/>
      <c r="K16" s="5" t="n"/>
      <c r="L16" s="5" t="n"/>
      <c r="M16" s="5" t="n"/>
    </row>
    <row r="17" ht="40" customHeight="1">
      <c r="B17" s="51" t="inlineStr">
        <is>
          <t>Bull Case</t>
        </is>
      </c>
      <c r="C17" s="8" t="n"/>
      <c r="D17" s="8" t="n"/>
      <c r="E17" s="8" t="n"/>
      <c r="F17" s="8" t="n"/>
      <c r="G17" s="8" t="n"/>
      <c r="H17" s="8" t="n"/>
      <c r="I17" s="25" t="n">
        <v>40500</v>
      </c>
      <c r="J17" s="25" t="n">
        <v>48000</v>
      </c>
      <c r="K17" s="25" t="n">
        <v>57000</v>
      </c>
      <c r="L17" s="52" t="inlineStr">
        <is>
          <t>15.4% CAGR | EUV +5pp growth premium; High-NA ramp acceleration; China DUV stabilizes at 20%; Logic/Memory AI demand persists</t>
        </is>
      </c>
    </row>
    <row r="18" ht="40" customHeight="1">
      <c r="B18" s="53" t="inlineStr">
        <is>
          <t>Base Case</t>
        </is>
      </c>
      <c r="C18" s="11" t="n"/>
      <c r="D18" s="11" t="n"/>
      <c r="E18" s="11" t="n"/>
      <c r="F18" s="11" t="n"/>
      <c r="G18" s="11" t="n"/>
      <c r="H18" s="11" t="n"/>
      <c r="I18" s="28" t="n">
        <v>38000</v>
      </c>
      <c r="J18" s="28" t="n">
        <v>44000</v>
      </c>
      <c r="K18" s="28" t="n">
        <v>50000</v>
      </c>
      <c r="L18" s="54" t="inlineStr">
        <is>
          <t>12.9% CAGR | In line with ASML guidance midpoint (€38bn); High-NA ramp per schedule; China normalizes to ~20%; 2030 target mid-point</t>
        </is>
      </c>
    </row>
    <row r="19" ht="40" customHeight="1">
      <c r="B19" s="55" t="inlineStr">
        <is>
          <t>Bear Case</t>
        </is>
      </c>
      <c r="C19" s="56" t="n"/>
      <c r="D19" s="56" t="n"/>
      <c r="E19" s="56" t="n"/>
      <c r="F19" s="56" t="n"/>
      <c r="G19" s="56" t="n"/>
      <c r="H19" s="56" t="n"/>
      <c r="I19" s="57" t="n">
        <v>35000</v>
      </c>
      <c r="J19" s="57" t="n">
        <v>37000</v>
      </c>
      <c r="K19" s="57" t="n">
        <v>40000</v>
      </c>
      <c r="L19" s="58" t="inlineStr">
        <is>
          <t>8.0% CAGR | China DUV restrictions tighten to 10% of revenue; High-NA ramp delayed 1-2 years; memory capex deferred; macro headwinds</t>
        </is>
      </c>
      <c r="M19" s="24" t="n"/>
    </row>
    <row r="21" ht="16" customHeight="1">
      <c r="B21" s="4" t="inlineStr">
        <is>
          <t>GEOGRAPHIC MIX NOTE (FY2025 ACTUALS — % of Net System Sales)</t>
        </is>
      </c>
    </row>
    <row r="22">
      <c r="B22" s="59" t="inlineStr">
        <is>
          <t>Geography</t>
        </is>
      </c>
      <c r="C22" s="59" t="inlineStr">
        <is>
          <t>FY2025 Share</t>
        </is>
      </c>
      <c r="D22" s="59" t="inlineStr">
        <is>
          <t>Commentary</t>
        </is>
      </c>
    </row>
    <row r="23" ht="16" customHeight="1">
      <c r="B23" s="60" t="inlineStr">
        <is>
          <t>China</t>
        </is>
      </c>
      <c r="C23" s="7" t="inlineStr">
        <is>
          <t>33%</t>
        </is>
      </c>
      <c r="D23" s="60" t="inlineStr">
        <is>
          <t>↓ to ~20% in 2026E per mgmt</t>
        </is>
      </c>
    </row>
    <row r="24" ht="16" customHeight="1">
      <c r="B24" s="61" t="inlineStr">
        <is>
          <t>South Korea</t>
        </is>
      </c>
      <c r="C24" s="10" t="inlineStr">
        <is>
          <t>25%</t>
        </is>
      </c>
      <c r="D24" s="61" t="inlineStr">
        <is>
          <t>TSMC/Samsung/SK Hynix investments</t>
        </is>
      </c>
    </row>
    <row r="25" ht="16" customHeight="1">
      <c r="B25" s="60" t="inlineStr">
        <is>
          <t>Taiwan</t>
        </is>
      </c>
      <c r="C25" s="7" t="inlineStr">
        <is>
          <t>22%</t>
        </is>
      </c>
      <c r="D25" s="60" t="inlineStr">
        <is>
          <t>TSMC dominant; CoWoS/N2 capex</t>
        </is>
      </c>
    </row>
    <row r="26" ht="16" customHeight="1">
      <c r="B26" s="61" t="inlineStr">
        <is>
          <t>Japan</t>
        </is>
      </c>
      <c r="C26" s="10" t="inlineStr">
        <is>
          <t>6%</t>
        </is>
      </c>
      <c r="D26" s="61" t="inlineStr">
        <is>
          <t>Kioxia, Micron Japan</t>
        </is>
      </c>
    </row>
    <row r="27" ht="16" customHeight="1">
      <c r="B27" s="62" t="inlineStr">
        <is>
          <t>US &amp; Other</t>
        </is>
      </c>
      <c r="C27" s="63" t="inlineStr">
        <is>
          <t>14%</t>
        </is>
      </c>
      <c r="D27" s="62" t="inlineStr">
        <is>
          <t>Intel, Micron, greenfield fabs</t>
        </is>
      </c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</row>
    <row r="29">
      <c r="B29" s="35" t="inlineStr">
        <is>
          <t>Sources: ASML Q4 2025 Earnings Presentation, Q1 2026 Results, Annual Report 2025. Projections are analyst estimates.</t>
        </is>
      </c>
    </row>
  </sheetData>
  <mergeCells count="16">
    <mergeCell ref="B6:M6"/>
    <mergeCell ref="I4:M4"/>
    <mergeCell ref="B2:M2"/>
    <mergeCell ref="C4:G4"/>
    <mergeCell ref="B15:M15"/>
    <mergeCell ref="L17:M17"/>
    <mergeCell ref="D23:M23"/>
    <mergeCell ref="D27:M27"/>
    <mergeCell ref="B3:M3"/>
    <mergeCell ref="D22:M22"/>
    <mergeCell ref="D26:M26"/>
    <mergeCell ref="L18:M18"/>
    <mergeCell ref="D25:M25"/>
    <mergeCell ref="L19:M19"/>
    <mergeCell ref="D24:M24"/>
    <mergeCell ref="B21:M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</cols>
  <sheetData>
    <row r="1" ht="6" customHeight="1"/>
    <row r="2">
      <c r="B2" s="1" t="inlineStr">
        <is>
          <t>ASML HOLDING N.V. — INCOME STATEMENT (€ millions, US GAAP)</t>
        </is>
      </c>
    </row>
    <row r="3">
      <c r="B3" s="36" t="inlineStr">
        <is>
          <t>Historical FY2021A–FY2025A (Adjusted) | Projected FY2026E–FY2030E (Base Case)</t>
        </is>
      </c>
    </row>
    <row r="5">
      <c r="B5" s="5" t="inlineStr">
        <is>
          <t>Line Item</t>
        </is>
      </c>
      <c r="C5" s="5" t="inlineStr">
        <is>
          <t>FY2021A</t>
        </is>
      </c>
      <c r="D5" s="5" t="inlineStr">
        <is>
          <t>FY2022A</t>
        </is>
      </c>
      <c r="E5" s="5" t="inlineStr">
        <is>
          <t>FY2023A</t>
        </is>
      </c>
      <c r="F5" s="5" t="inlineStr">
        <is>
          <t>FY2024A</t>
        </is>
      </c>
      <c r="G5" s="5" t="inlineStr">
        <is>
          <t>FY2025A</t>
        </is>
      </c>
      <c r="H5" s="5" t="inlineStr"/>
      <c r="I5" s="39" t="inlineStr">
        <is>
          <t>FY2026E</t>
        </is>
      </c>
      <c r="J5" s="39" t="inlineStr">
        <is>
          <t>FY2027E</t>
        </is>
      </c>
      <c r="K5" s="39" t="inlineStr">
        <is>
          <t>FY2028E</t>
        </is>
      </c>
      <c r="L5" s="39" t="inlineStr">
        <is>
          <t>FY2029E</t>
        </is>
      </c>
      <c r="M5" s="39" t="inlineStr">
        <is>
          <t>FY2030E</t>
        </is>
      </c>
    </row>
    <row r="6" ht="16" customHeight="1">
      <c r="B6" s="4" t="inlineStr">
        <is>
          <t>REVENUE</t>
        </is>
      </c>
    </row>
    <row r="7" ht="15" customHeight="1">
      <c r="B7" s="40" t="inlineStr">
        <is>
          <t xml:space="preserve">  Net System Sales</t>
        </is>
      </c>
      <c r="C7" s="41" t="n">
        <v>15111</v>
      </c>
      <c r="D7" s="41" t="n">
        <v>20545</v>
      </c>
      <c r="E7" s="41" t="n">
        <v>21659</v>
      </c>
      <c r="F7" s="41" t="n">
        <v>21762</v>
      </c>
      <c r="G7" s="41" t="n">
        <v>24504</v>
      </c>
      <c r="I7" s="42" t="n">
        <v>29700</v>
      </c>
      <c r="J7" s="42" t="n">
        <v>34500</v>
      </c>
      <c r="K7" s="42" t="n">
        <v>39500</v>
      </c>
      <c r="L7" s="42" t="n">
        <v>43500</v>
      </c>
      <c r="M7" s="42" t="n">
        <v>47600</v>
      </c>
    </row>
    <row r="8" ht="15" customHeight="1">
      <c r="B8" s="40" t="inlineStr">
        <is>
          <t xml:space="preserve">  Service &amp; Field Options</t>
        </is>
      </c>
      <c r="C8" s="41" t="n">
        <v>3500</v>
      </c>
      <c r="D8" s="41" t="n">
        <v>5200</v>
      </c>
      <c r="E8" s="41" t="n">
        <v>5900</v>
      </c>
      <c r="F8" s="41" t="n">
        <v>6500</v>
      </c>
      <c r="G8" s="41" t="n">
        <v>8200</v>
      </c>
      <c r="I8" s="42" t="n">
        <v>9672</v>
      </c>
      <c r="J8" s="42" t="n">
        <v>11122</v>
      </c>
      <c r="K8" s="42" t="n">
        <v>12782</v>
      </c>
      <c r="L8" s="42" t="n">
        <v>14694</v>
      </c>
      <c r="M8" s="42" t="n">
        <v>16893</v>
      </c>
    </row>
    <row r="9" ht="15" customHeight="1">
      <c r="B9" s="43" t="inlineStr">
        <is>
          <t>TOTAL NET SALES</t>
        </is>
      </c>
      <c r="C9" s="64" t="n">
        <v>18611</v>
      </c>
      <c r="D9" s="64" t="n">
        <v>25744</v>
      </c>
      <c r="E9" s="64" t="n">
        <v>27559</v>
      </c>
      <c r="F9" s="64" t="n">
        <v>28263</v>
      </c>
      <c r="G9" s="64" t="n">
        <v>32667</v>
      </c>
      <c r="H9" s="45" t="n"/>
      <c r="I9" s="65" t="n">
        <v>38000</v>
      </c>
      <c r="J9" s="65" t="n">
        <v>44000</v>
      </c>
      <c r="K9" s="65" t="n">
        <v>50000</v>
      </c>
      <c r="L9" s="65" t="n">
        <v>55000</v>
      </c>
      <c r="M9" s="65" t="n">
        <v>60000</v>
      </c>
    </row>
    <row r="10" ht="16" customHeight="1">
      <c r="B10" s="4" t="inlineStr">
        <is>
          <t>COST OF SALES</t>
        </is>
      </c>
    </row>
    <row r="11" ht="15" customHeight="1">
      <c r="B11" s="40" t="inlineStr">
        <is>
          <t xml:space="preserve">  Cost of Sales</t>
        </is>
      </c>
      <c r="C11" s="41" t="n">
        <v>8802</v>
      </c>
      <c r="D11" s="41" t="n">
        <v>15231</v>
      </c>
      <c r="E11" s="41" t="n">
        <v>13785</v>
      </c>
      <c r="F11" s="41" t="n">
        <v>13980</v>
      </c>
      <c r="G11" s="41" t="n">
        <v>15736</v>
      </c>
      <c r="I11" s="42" t="n">
        <v>18430</v>
      </c>
      <c r="J11" s="42" t="n">
        <v>21120</v>
      </c>
      <c r="K11" s="42" t="n">
        <v>24000</v>
      </c>
      <c r="L11" s="42" t="n">
        <v>26400</v>
      </c>
      <c r="M11" s="42" t="n">
        <v>27600</v>
      </c>
    </row>
    <row r="12" ht="15" customHeight="1">
      <c r="B12" s="43" t="inlineStr">
        <is>
          <t>GROSS PROFIT</t>
        </is>
      </c>
      <c r="C12" s="64" t="n">
        <v>9809</v>
      </c>
      <c r="D12" s="64" t="n">
        <v>10513</v>
      </c>
      <c r="E12" s="64" t="n">
        <v>13774</v>
      </c>
      <c r="F12" s="64" t="n">
        <v>14284</v>
      </c>
      <c r="G12" s="64" t="n">
        <v>16931</v>
      </c>
      <c r="H12" s="45" t="n"/>
      <c r="I12" s="65" t="n">
        <v>19570</v>
      </c>
      <c r="J12" s="65" t="n">
        <v>22880</v>
      </c>
      <c r="K12" s="65" t="n">
        <v>26000</v>
      </c>
      <c r="L12" s="65" t="n">
        <v>28600</v>
      </c>
      <c r="M12" s="65" t="n">
        <v>32400</v>
      </c>
    </row>
    <row r="13" ht="15" customHeight="1">
      <c r="B13" s="40" t="inlineStr">
        <is>
          <t xml:space="preserve">  Gross Margin %</t>
        </is>
      </c>
      <c r="C13" s="66" t="inlineStr">
        <is>
          <t>52.7%</t>
        </is>
      </c>
      <c r="D13" s="66" t="inlineStr">
        <is>
          <t>40.8%</t>
        </is>
      </c>
      <c r="E13" s="66" t="inlineStr">
        <is>
          <t>50.0%</t>
        </is>
      </c>
      <c r="F13" s="66" t="inlineStr">
        <is>
          <t>50.5%</t>
        </is>
      </c>
      <c r="G13" s="66" t="inlineStr">
        <is>
          <t>51.8%</t>
        </is>
      </c>
      <c r="I13" s="67" t="inlineStr">
        <is>
          <t>51.5%</t>
        </is>
      </c>
      <c r="J13" s="67" t="inlineStr">
        <is>
          <t>52.0%</t>
        </is>
      </c>
      <c r="K13" s="67" t="inlineStr">
        <is>
          <t>52.0%</t>
        </is>
      </c>
      <c r="L13" s="67" t="inlineStr">
        <is>
          <t>52.0%</t>
        </is>
      </c>
      <c r="M13" s="67" t="inlineStr">
        <is>
          <t>54.0%</t>
        </is>
      </c>
    </row>
    <row r="14" ht="16" customHeight="1">
      <c r="B14" s="4" t="inlineStr">
        <is>
          <t>OPERATING EXPENSES</t>
        </is>
      </c>
    </row>
    <row r="15" ht="15" customHeight="1">
      <c r="B15" s="40" t="inlineStr">
        <is>
          <t xml:space="preserve">  R&amp;D Expenses</t>
        </is>
      </c>
      <c r="C15" s="41" t="n">
        <v>2738</v>
      </c>
      <c r="D15" s="41" t="n">
        <v>2763</v>
      </c>
      <c r="E15" s="41" t="n">
        <v>3312</v>
      </c>
      <c r="F15" s="41" t="n">
        <v>4347</v>
      </c>
      <c r="G15" s="41" t="n">
        <v>4700</v>
      </c>
      <c r="I15" s="42" t="n">
        <v>5320</v>
      </c>
      <c r="J15" s="42" t="n">
        <v>6160</v>
      </c>
      <c r="K15" s="42" t="n">
        <v>7000</v>
      </c>
      <c r="L15" s="42" t="n">
        <v>7700</v>
      </c>
      <c r="M15" s="42" t="n">
        <v>8400</v>
      </c>
    </row>
    <row r="16" ht="15" customHeight="1">
      <c r="B16" s="40" t="inlineStr">
        <is>
          <t xml:space="preserve">  SG&amp;A Expenses</t>
        </is>
      </c>
      <c r="C16" s="41" t="n">
        <v>766</v>
      </c>
      <c r="D16" s="41" t="n">
        <v>893</v>
      </c>
      <c r="E16" s="41" t="n">
        <v>886</v>
      </c>
      <c r="F16" s="41" t="n">
        <v>893</v>
      </c>
      <c r="G16" s="41" t="n">
        <v>971</v>
      </c>
      <c r="I16" s="42" t="n">
        <v>1140</v>
      </c>
      <c r="J16" s="42" t="n">
        <v>1320</v>
      </c>
      <c r="K16" s="42" t="n">
        <v>1500</v>
      </c>
      <c r="L16" s="42" t="n">
        <v>1650</v>
      </c>
      <c r="M16" s="42" t="n">
        <v>1800</v>
      </c>
    </row>
    <row r="17" ht="15" customHeight="1">
      <c r="B17" s="43" t="inlineStr">
        <is>
          <t>Total OpEx</t>
        </is>
      </c>
      <c r="C17" s="64" t="n">
        <v>3504</v>
      </c>
      <c r="D17" s="64" t="n">
        <v>3656</v>
      </c>
      <c r="E17" s="64" t="n">
        <v>4198</v>
      </c>
      <c r="F17" s="64" t="n">
        <v>5240</v>
      </c>
      <c r="G17" s="64" t="n">
        <v>5671</v>
      </c>
      <c r="H17" s="45" t="n"/>
      <c r="I17" s="65" t="n">
        <v>6460</v>
      </c>
      <c r="J17" s="65" t="n">
        <v>7480</v>
      </c>
      <c r="K17" s="65" t="n">
        <v>8500</v>
      </c>
      <c r="L17" s="65" t="n">
        <v>9350</v>
      </c>
      <c r="M17" s="65" t="n">
        <v>10200</v>
      </c>
    </row>
    <row r="18" ht="16" customHeight="1">
      <c r="B18" s="4" t="inlineStr">
        <is>
          <t>OPERATING INCOME</t>
        </is>
      </c>
    </row>
    <row r="19" ht="15" customHeight="1">
      <c r="B19" s="43" t="inlineStr">
        <is>
          <t>EBIT (Operating Income)</t>
        </is>
      </c>
      <c r="C19" s="64" t="n">
        <v>6305</v>
      </c>
      <c r="D19" s="64" t="n">
        <v>6857</v>
      </c>
      <c r="E19" s="64" t="n">
        <v>9576</v>
      </c>
      <c r="F19" s="64" t="n">
        <v>9044</v>
      </c>
      <c r="G19" s="64" t="n">
        <v>11260</v>
      </c>
      <c r="H19" s="45" t="n"/>
      <c r="I19" s="65" t="n">
        <v>13110</v>
      </c>
      <c r="J19" s="65" t="n">
        <v>15400</v>
      </c>
      <c r="K19" s="65" t="n">
        <v>17500</v>
      </c>
      <c r="L19" s="65" t="n">
        <v>19250</v>
      </c>
      <c r="M19" s="65" t="n">
        <v>22200</v>
      </c>
    </row>
    <row r="20" ht="15" customHeight="1">
      <c r="B20" s="40" t="inlineStr">
        <is>
          <t xml:space="preserve">  EBIT Margin %</t>
        </is>
      </c>
      <c r="C20" s="66" t="inlineStr">
        <is>
          <t>33.9%</t>
        </is>
      </c>
      <c r="D20" s="66" t="inlineStr">
        <is>
          <t>26.6%</t>
        </is>
      </c>
      <c r="E20" s="66" t="inlineStr">
        <is>
          <t>34.7%</t>
        </is>
      </c>
      <c r="F20" s="66" t="inlineStr">
        <is>
          <t>32.0%</t>
        </is>
      </c>
      <c r="G20" s="66" t="inlineStr">
        <is>
          <t>34.5%</t>
        </is>
      </c>
      <c r="I20" s="67" t="inlineStr">
        <is>
          <t>34.5%</t>
        </is>
      </c>
      <c r="J20" s="67" t="inlineStr">
        <is>
          <t>35.0%</t>
        </is>
      </c>
      <c r="K20" s="67" t="inlineStr">
        <is>
          <t>35.0%</t>
        </is>
      </c>
      <c r="L20" s="67" t="inlineStr">
        <is>
          <t>35.0%</t>
        </is>
      </c>
      <c r="M20" s="67" t="inlineStr">
        <is>
          <t>37.0%</t>
        </is>
      </c>
    </row>
    <row r="21" ht="15" customHeight="1">
      <c r="B21" s="40" t="inlineStr">
        <is>
          <t xml:space="preserve">  D&amp;A</t>
        </is>
      </c>
      <c r="C21" s="41" t="n">
        <v>471</v>
      </c>
      <c r="D21" s="41" t="n">
        <v>875</v>
      </c>
      <c r="E21" s="41" t="n">
        <v>1048</v>
      </c>
      <c r="F21" s="41" t="n">
        <v>1200</v>
      </c>
      <c r="G21" s="41" t="n">
        <v>1432</v>
      </c>
      <c r="I21" s="42" t="n">
        <v>1590</v>
      </c>
      <c r="J21" s="42" t="n">
        <v>1840</v>
      </c>
      <c r="K21" s="42" t="n">
        <v>2090</v>
      </c>
      <c r="L21" s="42" t="n">
        <v>2300</v>
      </c>
      <c r="M21" s="42" t="n">
        <v>2500</v>
      </c>
    </row>
    <row r="22" ht="15" customHeight="1">
      <c r="B22" s="43" t="inlineStr">
        <is>
          <t>EBITDA</t>
        </is>
      </c>
      <c r="C22" s="64" t="n">
        <v>7221</v>
      </c>
      <c r="D22" s="64" t="n">
        <v>8197</v>
      </c>
      <c r="E22" s="64" t="n">
        <v>10559</v>
      </c>
      <c r="F22" s="64" t="n">
        <v>11137</v>
      </c>
      <c r="G22" s="64" t="n">
        <v>13487</v>
      </c>
      <c r="H22" s="45" t="n"/>
      <c r="I22" s="65" t="n">
        <v>16700</v>
      </c>
      <c r="J22" s="65" t="n">
        <v>19740</v>
      </c>
      <c r="K22" s="65" t="n">
        <v>22340</v>
      </c>
      <c r="L22" s="65" t="n">
        <v>24590</v>
      </c>
      <c r="M22" s="65" t="n">
        <v>28200</v>
      </c>
    </row>
    <row r="23" ht="15" customHeight="1">
      <c r="B23" s="40" t="inlineStr">
        <is>
          <t xml:space="preserve">  EBITDA Margin %</t>
        </is>
      </c>
      <c r="C23" s="66" t="inlineStr">
        <is>
          <t>38.8%</t>
        </is>
      </c>
      <c r="D23" s="66" t="inlineStr">
        <is>
          <t>38.7%</t>
        </is>
      </c>
      <c r="E23" s="66" t="inlineStr">
        <is>
          <t>38.3%</t>
        </is>
      </c>
      <c r="F23" s="66" t="inlineStr">
        <is>
          <t>39.4%</t>
        </is>
      </c>
      <c r="G23" s="66" t="inlineStr">
        <is>
          <t>41.3%</t>
        </is>
      </c>
      <c r="I23" s="67" t="inlineStr">
        <is>
          <t>44.0%</t>
        </is>
      </c>
      <c r="J23" s="67" t="inlineStr">
        <is>
          <t>44.9%</t>
        </is>
      </c>
      <c r="K23" s="67" t="inlineStr">
        <is>
          <t>44.7%</t>
        </is>
      </c>
      <c r="L23" s="67" t="inlineStr">
        <is>
          <t>44.7%</t>
        </is>
      </c>
      <c r="M23" s="67" t="inlineStr">
        <is>
          <t>47.0%</t>
        </is>
      </c>
    </row>
    <row r="24" ht="16" customHeight="1">
      <c r="B24" s="4" t="inlineStr">
        <is>
          <t>BELOW THE LINE</t>
        </is>
      </c>
    </row>
    <row r="25" ht="15" customHeight="1">
      <c r="B25" s="40" t="inlineStr">
        <is>
          <t xml:space="preserve">  Interest Income (Expense)</t>
        </is>
      </c>
      <c r="C25" s="41" t="n">
        <v>-143</v>
      </c>
      <c r="D25" s="41" t="n">
        <v>-142</v>
      </c>
      <c r="E25" s="41" t="n">
        <v>-139</v>
      </c>
      <c r="F25" s="41" t="n">
        <v>-166</v>
      </c>
      <c r="G25" s="41" t="n">
        <v>-169</v>
      </c>
      <c r="I25" s="42" t="n">
        <v>200</v>
      </c>
      <c r="J25" s="42" t="n">
        <v>200</v>
      </c>
      <c r="K25" s="42" t="n">
        <v>200</v>
      </c>
      <c r="L25" s="42" t="n">
        <v>200</v>
      </c>
      <c r="M25" s="42" t="n">
        <v>200</v>
      </c>
    </row>
    <row r="26" ht="15" customHeight="1">
      <c r="B26" s="40" t="inlineStr">
        <is>
          <t xml:space="preserve">  Other Income / (Expense)</t>
        </is>
      </c>
      <c r="C26" s="41" t="n">
        <v>86</v>
      </c>
      <c r="D26" s="41" t="n">
        <v>247</v>
      </c>
      <c r="E26" s="41" t="n">
        <v>137</v>
      </c>
      <c r="F26" s="41" t="n">
        <v>170</v>
      </c>
      <c r="G26" s="41" t="n">
        <v>80</v>
      </c>
      <c r="I26" s="42" t="n">
        <v>50</v>
      </c>
      <c r="J26" s="42" t="n">
        <v>50</v>
      </c>
      <c r="K26" s="42" t="n">
        <v>50</v>
      </c>
      <c r="L26" s="42" t="n">
        <v>50</v>
      </c>
      <c r="M26" s="42" t="n">
        <v>50</v>
      </c>
    </row>
    <row r="27" ht="15" customHeight="1">
      <c r="B27" s="43" t="inlineStr">
        <is>
          <t>Pre-Tax Income</t>
        </is>
      </c>
      <c r="C27" s="64" t="n">
        <v>6248</v>
      </c>
      <c r="D27" s="64" t="n">
        <v>6962</v>
      </c>
      <c r="E27" s="64" t="n">
        <v>9574</v>
      </c>
      <c r="F27" s="64" t="n">
        <v>9048</v>
      </c>
      <c r="G27" s="64" t="n">
        <v>11171</v>
      </c>
      <c r="H27" s="45" t="n"/>
      <c r="I27" s="65" t="n">
        <v>13360</v>
      </c>
      <c r="J27" s="65" t="n">
        <v>15650</v>
      </c>
      <c r="K27" s="65" t="n">
        <v>17750</v>
      </c>
      <c r="L27" s="65" t="n">
        <v>19500</v>
      </c>
      <c r="M27" s="65" t="n">
        <v>22450</v>
      </c>
    </row>
    <row r="28" ht="15" customHeight="1">
      <c r="B28" s="40" t="inlineStr">
        <is>
          <t xml:space="preserve">  Income Tax Expense</t>
        </is>
      </c>
      <c r="C28" s="41" t="n">
        <v>365</v>
      </c>
      <c r="D28" s="41" t="n">
        <v>566</v>
      </c>
      <c r="E28" s="41" t="n">
        <v>1459</v>
      </c>
      <c r="F28" s="41" t="n">
        <v>699</v>
      </c>
      <c r="G28" s="41" t="n">
        <v>958</v>
      </c>
      <c r="I28" s="42" t="n">
        <v>2137</v>
      </c>
      <c r="J28" s="42" t="n">
        <v>2504</v>
      </c>
      <c r="K28" s="42" t="n">
        <v>2840</v>
      </c>
      <c r="L28" s="42" t="n">
        <v>3120</v>
      </c>
      <c r="M28" s="42" t="n">
        <v>3592</v>
      </c>
    </row>
    <row r="29" ht="15" customHeight="1">
      <c r="B29" s="40" t="inlineStr">
        <is>
          <t xml:space="preserve">  Effective Tax Rate %</t>
        </is>
      </c>
      <c r="C29" s="66" t="inlineStr">
        <is>
          <t>5.8%</t>
        </is>
      </c>
      <c r="D29" s="66" t="inlineStr">
        <is>
          <t>8.1%</t>
        </is>
      </c>
      <c r="E29" s="66" t="inlineStr">
        <is>
          <t>15.2%</t>
        </is>
      </c>
      <c r="F29" s="66" t="inlineStr">
        <is>
          <t>7.7%</t>
        </is>
      </c>
      <c r="G29" s="66" t="inlineStr">
        <is>
          <t>8.6%</t>
        </is>
      </c>
      <c r="I29" s="67" t="inlineStr">
        <is>
          <t>16.0%</t>
        </is>
      </c>
      <c r="J29" s="67" t="inlineStr">
        <is>
          <t>16.0%</t>
        </is>
      </c>
      <c r="K29" s="67" t="inlineStr">
        <is>
          <t>16.0%</t>
        </is>
      </c>
      <c r="L29" s="67" t="inlineStr">
        <is>
          <t>16.0%</t>
        </is>
      </c>
      <c r="M29" s="67" t="inlineStr">
        <is>
          <t>16.0%</t>
        </is>
      </c>
    </row>
    <row r="30" ht="15" customHeight="1">
      <c r="B30" s="43" t="inlineStr">
        <is>
          <t>NET INCOME</t>
        </is>
      </c>
      <c r="C30" s="64" t="n">
        <v>5883</v>
      </c>
      <c r="D30" s="64" t="n">
        <v>6396</v>
      </c>
      <c r="E30" s="64" t="n">
        <v>8115</v>
      </c>
      <c r="F30" s="64" t="n">
        <v>8349</v>
      </c>
      <c r="G30" s="64" t="n">
        <v>10213</v>
      </c>
      <c r="H30" s="45" t="n"/>
      <c r="I30" s="65" t="n">
        <v>12200</v>
      </c>
      <c r="J30" s="65" t="n">
        <v>14400</v>
      </c>
      <c r="K30" s="65" t="n">
        <v>16400</v>
      </c>
      <c r="L30" s="65" t="n">
        <v>18100</v>
      </c>
      <c r="M30" s="65" t="n">
        <v>20900</v>
      </c>
    </row>
    <row r="31" ht="15" customHeight="1">
      <c r="B31" s="40" t="inlineStr">
        <is>
          <t xml:space="preserve">  Net Margin %</t>
        </is>
      </c>
      <c r="C31" s="66" t="inlineStr">
        <is>
          <t>30.5%</t>
        </is>
      </c>
      <c r="D31" s="66" t="inlineStr">
        <is>
          <t>29.6%</t>
        </is>
      </c>
      <c r="E31" s="66" t="inlineStr">
        <is>
          <t>28.8%</t>
        </is>
      </c>
      <c r="F31" s="66" t="inlineStr">
        <is>
          <t>28.8%</t>
        </is>
      </c>
      <c r="G31" s="66" t="inlineStr">
        <is>
          <t>30.6%</t>
        </is>
      </c>
      <c r="I31" s="67" t="inlineStr">
        <is>
          <t>32.1%</t>
        </is>
      </c>
      <c r="J31" s="67" t="inlineStr">
        <is>
          <t>32.7%</t>
        </is>
      </c>
      <c r="K31" s="67" t="inlineStr">
        <is>
          <t>32.8%</t>
        </is>
      </c>
      <c r="L31" s="67" t="inlineStr">
        <is>
          <t>32.9%</t>
        </is>
      </c>
      <c r="M31" s="67" t="inlineStr">
        <is>
          <t>34.8%</t>
        </is>
      </c>
    </row>
    <row r="32" ht="16" customHeight="1">
      <c r="B32" s="4" t="inlineStr">
        <is>
          <t>PER SHARE DATA</t>
        </is>
      </c>
    </row>
    <row r="33" ht="15" customHeight="1">
      <c r="B33" s="40" t="inlineStr">
        <is>
          <t xml:space="preserve">  Diluted Shares Outstanding (M)</t>
        </is>
      </c>
      <c r="C33" s="68" t="n">
        <v>410</v>
      </c>
      <c r="D33" s="68" t="n">
        <v>398</v>
      </c>
      <c r="E33" s="68" t="n">
        <v>394</v>
      </c>
      <c r="F33" s="68" t="n">
        <v>393</v>
      </c>
      <c r="G33" s="68" t="n">
        <v>389</v>
      </c>
      <c r="I33" s="69" t="n">
        <v>385</v>
      </c>
      <c r="J33" s="69" t="n">
        <v>381</v>
      </c>
      <c r="K33" s="69" t="n">
        <v>377</v>
      </c>
      <c r="L33" s="69" t="n">
        <v>373</v>
      </c>
      <c r="M33" s="69" t="n">
        <v>369</v>
      </c>
    </row>
    <row r="34" ht="15" customHeight="1">
      <c r="B34" s="40" t="inlineStr">
        <is>
          <t xml:space="preserve">  Adj. EPS (EUR)</t>
        </is>
      </c>
      <c r="C34" s="70" t="n">
        <v>14.34</v>
      </c>
      <c r="D34" s="70" t="n">
        <v>16.07</v>
      </c>
      <c r="E34" s="70" t="n">
        <v>20.59</v>
      </c>
      <c r="F34" s="70" t="n">
        <v>21.21</v>
      </c>
      <c r="G34" s="70" t="n">
        <v>26.26</v>
      </c>
      <c r="I34" s="71" t="n">
        <v>31</v>
      </c>
      <c r="J34" s="71" t="n">
        <v>37</v>
      </c>
      <c r="K34" s="71" t="n">
        <v>43</v>
      </c>
      <c r="L34" s="71" t="n">
        <v>48</v>
      </c>
      <c r="M34" s="71" t="n">
        <v>56</v>
      </c>
    </row>
    <row r="35" ht="15" customHeight="1">
      <c r="B35" s="40" t="inlineStr">
        <is>
          <t xml:space="preserve">  Dividend Per Share (EUR)</t>
        </is>
      </c>
      <c r="C35" s="70" t="n">
        <v>5.5</v>
      </c>
      <c r="D35" s="70" t="n">
        <v>6</v>
      </c>
      <c r="E35" s="70" t="n">
        <v>6.4</v>
      </c>
      <c r="F35" s="70" t="n">
        <v>7.5</v>
      </c>
      <c r="G35" s="70" t="n">
        <v>8.5</v>
      </c>
      <c r="I35" s="71" t="n">
        <v>9.5</v>
      </c>
      <c r="J35" s="71" t="n">
        <v>11</v>
      </c>
      <c r="K35" s="71" t="n">
        <v>13</v>
      </c>
      <c r="L35" s="71" t="n">
        <v>15</v>
      </c>
      <c r="M35" s="71" t="n">
        <v>17</v>
      </c>
    </row>
    <row r="37">
      <c r="B37" s="35" t="inlineStr">
        <is>
          <t>Source: ASML Adjusted Metrics (company filings). Projections: analyst base case. Tax rate normalized to ~16% per mgmt guidance. Shares declining ~1%/yr from buybacks.</t>
        </is>
      </c>
    </row>
  </sheetData>
  <mergeCells count="8">
    <mergeCell ref="B6:M6"/>
    <mergeCell ref="B24:M24"/>
    <mergeCell ref="B2:M2"/>
    <mergeCell ref="B10:M10"/>
    <mergeCell ref="B3:M3"/>
    <mergeCell ref="B14:M14"/>
    <mergeCell ref="B32:M32"/>
    <mergeCell ref="B18:M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" customWidth="1" min="10" max="10"/>
  </cols>
  <sheetData>
    <row r="1" ht="6" customHeight="1"/>
    <row r="2">
      <c r="B2" s="1" t="inlineStr">
        <is>
          <t>ASML HOLDING N.V. — DCF VALUATION MODEL</t>
        </is>
      </c>
    </row>
    <row r="3">
      <c r="B3" s="36" t="inlineStr">
        <is>
          <t>Discounted Cash Flow Analysis | Base Case | All values in € millions unless stated</t>
        </is>
      </c>
    </row>
    <row r="5" ht="16" customHeight="1">
      <c r="B5" s="4" t="inlineStr">
        <is>
          <t>WACC CALCULATION</t>
        </is>
      </c>
    </row>
    <row r="6">
      <c r="B6" s="59" t="inlineStr">
        <is>
          <t>Input</t>
        </is>
      </c>
      <c r="C6" s="59" t="inlineStr">
        <is>
          <t>Value</t>
        </is>
      </c>
      <c r="D6" s="72" t="n"/>
      <c r="E6" s="72" t="n"/>
      <c r="F6" s="59" t="inlineStr">
        <is>
          <t>Notes / Source</t>
        </is>
      </c>
      <c r="G6" s="72" t="n"/>
      <c r="H6" s="72" t="n"/>
      <c r="I6" s="72" t="n"/>
    </row>
    <row r="7" ht="16" customHeight="1">
      <c r="B7" s="60" t="inlineStr">
        <is>
          <t>Risk-Free Rate (10Y EUR sovereign)</t>
        </is>
      </c>
      <c r="C7" s="7" t="inlineStr">
        <is>
          <t>2.85%</t>
        </is>
      </c>
      <c r="F7" s="73" t="inlineStr">
        <is>
          <t>German 10Y Bund yield, May 2026 (~2.6-3.1% range)</t>
        </is>
      </c>
    </row>
    <row r="8" ht="16" customHeight="1">
      <c r="B8" s="61" t="inlineStr">
        <is>
          <t>Equity Risk Premium (ERP)</t>
        </is>
      </c>
      <c r="C8" s="10" t="inlineStr">
        <is>
          <t>5.60%</t>
        </is>
      </c>
      <c r="F8" s="74" t="inlineStr">
        <is>
          <t>Damodaran ERP for Netherlands / developed market</t>
        </is>
      </c>
    </row>
    <row r="9" ht="16" customHeight="1">
      <c r="B9" s="60" t="inlineStr">
        <is>
          <t>Adjusted Beta</t>
        </is>
      </c>
      <c r="C9" s="7" t="inlineStr">
        <is>
          <t>0.80</t>
        </is>
      </c>
      <c r="F9" s="73" t="inlineStr">
        <is>
          <t>Between low (0.48 valueinvesting.io) and high (1.23 alphaspread); mid estimate for EUV monopoly + cycle</t>
        </is>
      </c>
    </row>
    <row r="10" ht="16" customHeight="1">
      <c r="B10" s="61" t="inlineStr">
        <is>
          <t>Size / Liquidity Premium</t>
        </is>
      </c>
      <c r="C10" s="10" t="inlineStr">
        <is>
          <t>0.25%</t>
        </is>
      </c>
      <c r="F10" s="74" t="inlineStr">
        <is>
          <t>Nominal; mega-cap EUR-listed</t>
        </is>
      </c>
    </row>
    <row r="11" ht="16" customHeight="1">
      <c r="B11" s="60" t="inlineStr">
        <is>
          <t>Cost of Equity (CAPM)</t>
        </is>
      </c>
      <c r="C11" s="7" t="inlineStr">
        <is>
          <t>7.58%</t>
        </is>
      </c>
      <c r="F11" s="73" t="inlineStr">
        <is>
          <t>Rf + Beta * ERP + Size = 2.85% + 0.80*5.60% + 0.25%</t>
        </is>
      </c>
    </row>
    <row r="12" ht="16" customHeight="1">
      <c r="B12" s="61" t="inlineStr">
        <is>
          <t>Cost of Debt (pre-tax)</t>
        </is>
      </c>
      <c r="C12" s="10" t="inlineStr">
        <is>
          <t>3.50%</t>
        </is>
      </c>
      <c r="F12" s="74" t="inlineStr">
        <is>
          <t>ASML is effectively net cash; minimal debt</t>
        </is>
      </c>
    </row>
    <row r="13" ht="16" customHeight="1">
      <c r="B13" s="60" t="inlineStr">
        <is>
          <t>Effective Tax Rate</t>
        </is>
      </c>
      <c r="C13" s="7" t="inlineStr">
        <is>
          <t>16.0%</t>
        </is>
      </c>
      <c r="F13" s="73" t="inlineStr">
        <is>
          <t>ASML mgmt guidance for 2026E</t>
        </is>
      </c>
    </row>
    <row r="14" ht="16" customHeight="1">
      <c r="B14" s="61" t="inlineStr">
        <is>
          <t>After-Tax Cost of Debt</t>
        </is>
      </c>
      <c r="C14" s="10" t="inlineStr">
        <is>
          <t>2.94%</t>
        </is>
      </c>
      <c r="F14" s="74" t="inlineStr">
        <is>
          <t>3.50% * (1 - 16.0%)</t>
        </is>
      </c>
    </row>
    <row r="15" ht="16" customHeight="1">
      <c r="B15" s="60" t="inlineStr">
        <is>
          <t>Equity Weight (E/V)</t>
        </is>
      </c>
      <c r="C15" s="7" t="inlineStr">
        <is>
          <t>99.4%</t>
        </is>
      </c>
      <c r="F15" s="73" t="inlineStr">
        <is>
          <t>ASML ~net cash position; minimal debt</t>
        </is>
      </c>
    </row>
    <row r="16" ht="16" customHeight="1">
      <c r="B16" s="61" t="inlineStr">
        <is>
          <t>Debt Weight (D/V)</t>
        </is>
      </c>
      <c r="C16" s="10" t="inlineStr">
        <is>
          <t>0.6%</t>
        </is>
      </c>
      <c r="F16" s="74" t="inlineStr">
        <is>
          <t>See balance sheet</t>
        </is>
      </c>
    </row>
    <row r="17" ht="16" customHeight="1">
      <c r="B17" s="62" t="inlineStr">
        <is>
          <t>WACC</t>
        </is>
      </c>
      <c r="C17" s="75" t="inlineStr">
        <is>
          <t>7.57%</t>
        </is>
      </c>
      <c r="D17" s="24" t="n"/>
      <c r="E17" s="24" t="n"/>
      <c r="F17" s="76" t="inlineStr">
        <is>
          <t>Ke * E/V + Kd*(1-T) * D/V</t>
        </is>
      </c>
      <c r="G17" s="24" t="n"/>
      <c r="H17" s="24" t="n"/>
      <c r="I17" s="24" t="n"/>
    </row>
    <row r="18" ht="8" customHeight="1"/>
    <row r="19" ht="16" customHeight="1">
      <c r="B19" s="4" t="inlineStr">
        <is>
          <t>UNLEVERED FREE CASH FLOW PROJECTIONS (€ millions)</t>
        </is>
      </c>
    </row>
    <row r="20">
      <c r="B20" s="5" t="inlineStr">
        <is>
          <t>Line Item</t>
        </is>
      </c>
      <c r="C20" s="5" t="inlineStr">
        <is>
          <t>FY2026E</t>
        </is>
      </c>
      <c r="D20" s="5" t="inlineStr">
        <is>
          <t>FY2027E</t>
        </is>
      </c>
      <c r="E20" s="5" t="inlineStr">
        <is>
          <t>FY2028E</t>
        </is>
      </c>
      <c r="F20" s="5" t="inlineStr">
        <is>
          <t>FY2029E</t>
        </is>
      </c>
      <c r="G20" s="5" t="inlineStr">
        <is>
          <t>FY2030E</t>
        </is>
      </c>
      <c r="H20" s="5" t="inlineStr">
        <is>
          <t>Terminal Year</t>
        </is>
      </c>
      <c r="I20" s="5" t="n"/>
    </row>
    <row r="21" ht="15" customHeight="1">
      <c r="B21" s="60" t="inlineStr">
        <is>
          <t xml:space="preserve">  EBIT (Operating Income)</t>
        </is>
      </c>
      <c r="C21" s="77" t="n">
        <v>13110</v>
      </c>
      <c r="D21" s="77" t="n">
        <v>15400</v>
      </c>
      <c r="E21" s="77" t="n">
        <v>17500</v>
      </c>
      <c r="F21" s="77" t="n">
        <v>19250</v>
      </c>
      <c r="G21" s="77" t="n">
        <v>22200</v>
      </c>
      <c r="H21" s="8" t="n"/>
      <c r="I21" s="8" t="n"/>
    </row>
    <row r="22" ht="15" customHeight="1">
      <c r="B22" s="61" t="inlineStr">
        <is>
          <t xml:space="preserve">  (-) Taxes on EBIT (@ 16%)</t>
        </is>
      </c>
      <c r="C22" s="78" t="n">
        <v>-2098</v>
      </c>
      <c r="D22" s="78" t="n">
        <v>-2464</v>
      </c>
      <c r="E22" s="78" t="n">
        <v>-2800</v>
      </c>
      <c r="F22" s="78" t="n">
        <v>-3080</v>
      </c>
      <c r="G22" s="78" t="n">
        <v>-3552</v>
      </c>
      <c r="H22" s="11" t="n"/>
      <c r="I22" s="11" t="n"/>
    </row>
    <row r="23" ht="15" customHeight="1">
      <c r="B23" s="79" t="inlineStr">
        <is>
          <t>NOPAT (EBIT after Tax)</t>
        </is>
      </c>
      <c r="C23" s="80" t="n">
        <v>11012</v>
      </c>
      <c r="D23" s="80" t="n">
        <v>12936</v>
      </c>
      <c r="E23" s="80" t="n">
        <v>14700</v>
      </c>
      <c r="F23" s="80" t="n">
        <v>16170</v>
      </c>
      <c r="G23" s="80" t="n">
        <v>18648</v>
      </c>
      <c r="H23" s="81" t="n"/>
      <c r="I23" s="81" t="n"/>
    </row>
    <row r="24" ht="15" customHeight="1">
      <c r="B24" s="61" t="inlineStr">
        <is>
          <t xml:space="preserve">  (+) D&amp;A</t>
        </is>
      </c>
      <c r="C24" s="78" t="n">
        <v>1590</v>
      </c>
      <c r="D24" s="78" t="n">
        <v>1840</v>
      </c>
      <c r="E24" s="78" t="n">
        <v>2090</v>
      </c>
      <c r="F24" s="78" t="n">
        <v>2300</v>
      </c>
      <c r="G24" s="78" t="n">
        <v>2500</v>
      </c>
      <c r="H24" s="11" t="n"/>
      <c r="I24" s="11" t="n"/>
    </row>
    <row r="25" ht="15" customHeight="1">
      <c r="B25" s="60" t="inlineStr">
        <is>
          <t xml:space="preserve">  (-) Capital Expenditures</t>
        </is>
      </c>
      <c r="C25" s="77" t="n">
        <v>-1800</v>
      </c>
      <c r="D25" s="77" t="n">
        <v>-2090</v>
      </c>
      <c r="E25" s="77" t="n">
        <v>-2380</v>
      </c>
      <c r="F25" s="77" t="n">
        <v>-2620</v>
      </c>
      <c r="G25" s="77" t="n">
        <v>-2860</v>
      </c>
      <c r="H25" s="8" t="n"/>
      <c r="I25" s="8" t="n"/>
    </row>
    <row r="26" ht="15" customHeight="1">
      <c r="B26" s="61" t="inlineStr">
        <is>
          <t xml:space="preserve">  (-) Change in Working Capital</t>
        </is>
      </c>
      <c r="C26" s="78" t="n">
        <v>-760</v>
      </c>
      <c r="D26" s="78" t="n">
        <v>-880</v>
      </c>
      <c r="E26" s="78" t="n">
        <v>-1000</v>
      </c>
      <c r="F26" s="78" t="n">
        <v>-1100</v>
      </c>
      <c r="G26" s="78" t="n">
        <v>-1200</v>
      </c>
      <c r="H26" s="11" t="n"/>
      <c r="I26" s="11" t="n"/>
    </row>
    <row r="27" ht="15" customHeight="1">
      <c r="B27" s="43" t="inlineStr">
        <is>
          <t>UNLEVERED FCF</t>
        </is>
      </c>
      <c r="C27" s="82" t="n">
        <v>10042</v>
      </c>
      <c r="D27" s="82" t="n">
        <v>11806</v>
      </c>
      <c r="E27" s="82" t="n">
        <v>13410</v>
      </c>
      <c r="F27" s="82" t="n">
        <v>14750</v>
      </c>
      <c r="G27" s="82" t="n">
        <v>17088</v>
      </c>
      <c r="H27" s="83" t="n">
        <v>17088</v>
      </c>
      <c r="I27" s="84" t="n"/>
    </row>
    <row r="28" ht="15" customHeight="1">
      <c r="B28" s="61" t="inlineStr">
        <is>
          <t xml:space="preserve">  FCF Growth %</t>
        </is>
      </c>
      <c r="C28" s="26" t="inlineStr">
        <is>
          <t>N/A</t>
        </is>
      </c>
      <c r="D28" s="26" t="inlineStr">
        <is>
          <t>17.6%</t>
        </is>
      </c>
      <c r="E28" s="26" t="inlineStr">
        <is>
          <t>13.6%</t>
        </is>
      </c>
      <c r="F28" s="26" t="inlineStr">
        <is>
          <t>10.0%</t>
        </is>
      </c>
      <c r="G28" s="26" t="inlineStr">
        <is>
          <t>15.9%</t>
        </is>
      </c>
      <c r="H28" s="11" t="n"/>
      <c r="I28" s="11" t="n"/>
    </row>
    <row r="29" ht="15" customHeight="1">
      <c r="B29" s="60" t="inlineStr">
        <is>
          <t xml:space="preserve">  FCF Margin %</t>
        </is>
      </c>
      <c r="C29" s="29" t="inlineStr">
        <is>
          <t>26.4%</t>
        </is>
      </c>
      <c r="D29" s="29" t="inlineStr">
        <is>
          <t>26.8%</t>
        </is>
      </c>
      <c r="E29" s="29" t="inlineStr">
        <is>
          <t>26.8%</t>
        </is>
      </c>
      <c r="F29" s="29" t="inlineStr">
        <is>
          <t>26.8%</t>
        </is>
      </c>
      <c r="G29" s="29" t="inlineStr">
        <is>
          <t>28.5%</t>
        </is>
      </c>
      <c r="H29" s="8" t="n"/>
      <c r="I29" s="8" t="n"/>
    </row>
    <row r="30" ht="8" customHeight="1"/>
    <row r="31" ht="16" customHeight="1">
      <c r="B31" s="4" t="inlineStr">
        <is>
          <t>TERMINAL VALUE &amp; ENTERPRISE-TO-EQUITY BRIDGE (€ millions)</t>
        </is>
      </c>
    </row>
    <row r="32">
      <c r="B32" s="59" t="inlineStr">
        <is>
          <t>Component</t>
        </is>
      </c>
      <c r="C32" s="59" t="inlineStr">
        <is>
          <t>Perpetuity Method</t>
        </is>
      </c>
      <c r="G32" s="59" t="inlineStr">
        <is>
          <t>Exit Multiple Method</t>
        </is>
      </c>
    </row>
    <row r="33" ht="16" customHeight="1">
      <c r="B33" s="60" t="inlineStr">
        <is>
          <t>Terminal Growth Rate (g)</t>
        </is>
      </c>
      <c r="C33" s="7" t="inlineStr">
        <is>
          <t>3.0%</t>
        </is>
      </c>
      <c r="G33" s="7" t="inlineStr">
        <is>
          <t>3.0%</t>
        </is>
      </c>
    </row>
    <row r="34" ht="16" customHeight="1">
      <c r="B34" s="61" t="inlineStr">
        <is>
          <t>WACC</t>
        </is>
      </c>
      <c r="C34" s="10" t="inlineStr">
        <is>
          <t>7.57%</t>
        </is>
      </c>
      <c r="G34" s="10" t="inlineStr">
        <is>
          <t>7.57%</t>
        </is>
      </c>
    </row>
    <row r="35" ht="16" customHeight="1">
      <c r="B35" s="60" t="inlineStr">
        <is>
          <t>Terminal FCF / EBITDA</t>
        </is>
      </c>
      <c r="C35" s="7" t="inlineStr">
        <is>
          <t>€17,088M FCF</t>
        </is>
      </c>
      <c r="G35" s="7" t="inlineStr">
        <is>
          <t>€28,200M EBITDA</t>
        </is>
      </c>
    </row>
    <row r="36" ht="16" customHeight="1">
      <c r="B36" s="61" t="inlineStr">
        <is>
          <t>Terminal Value</t>
        </is>
      </c>
      <c r="C36" s="10" t="inlineStr">
        <is>
          <t>€380,800M</t>
        </is>
      </c>
      <c r="G36" s="10" t="inlineStr">
        <is>
          <t>€507,600M (18x EBITDA)</t>
        </is>
      </c>
    </row>
    <row r="37" ht="16" customHeight="1">
      <c r="B37" s="60" t="inlineStr">
        <is>
          <t>PV of Terminal Value</t>
        </is>
      </c>
      <c r="C37" s="7" t="inlineStr">
        <is>
          <t>€264,000M</t>
        </is>
      </c>
      <c r="G37" s="7" t="inlineStr">
        <is>
          <t>€352,800M</t>
        </is>
      </c>
    </row>
    <row r="38" ht="16" customHeight="1">
      <c r="B38" s="61" t="inlineStr">
        <is>
          <t>PV of Projected FCFs (FY26-30)</t>
        </is>
      </c>
      <c r="C38" s="10" t="inlineStr">
        <is>
          <t>€52,400M</t>
        </is>
      </c>
      <c r="G38" s="10" t="inlineStr">
        <is>
          <t>€52,400M</t>
        </is>
      </c>
    </row>
    <row r="39" ht="16" customHeight="1">
      <c r="B39" s="79" t="inlineStr">
        <is>
          <t>Total Enterprise Value</t>
        </is>
      </c>
      <c r="C39" s="85" t="inlineStr">
        <is>
          <t>€316,400M</t>
        </is>
      </c>
      <c r="G39" s="86" t="inlineStr">
        <is>
          <t>€405,200M</t>
        </is>
      </c>
    </row>
    <row r="40" ht="16" customHeight="1">
      <c r="B40" s="61" t="inlineStr">
        <is>
          <t>(+) Net Cash</t>
        </is>
      </c>
      <c r="C40" s="10" t="inlineStr">
        <is>
          <t>€9,000M</t>
        </is>
      </c>
      <c r="G40" s="10" t="inlineStr">
        <is>
          <t>€9,000M</t>
        </is>
      </c>
    </row>
    <row r="41" ht="16" customHeight="1">
      <c r="B41" s="79" t="inlineStr">
        <is>
          <t>Equity Value</t>
        </is>
      </c>
      <c r="C41" s="85" t="inlineStr">
        <is>
          <t>€325,400M</t>
        </is>
      </c>
      <c r="G41" s="86" t="inlineStr">
        <is>
          <t>€414,200M</t>
        </is>
      </c>
    </row>
    <row r="42" ht="16" customHeight="1">
      <c r="B42" s="61" t="inlineStr">
        <is>
          <t>Diluted Shares (M)</t>
        </is>
      </c>
      <c r="C42" s="10" t="inlineStr">
        <is>
          <t>385</t>
        </is>
      </c>
      <c r="G42" s="10" t="inlineStr">
        <is>
          <t>385</t>
        </is>
      </c>
    </row>
    <row r="43" ht="16" customHeight="1">
      <c r="B43" s="60" t="inlineStr">
        <is>
          <t>Implied Share Price (EUR)</t>
        </is>
      </c>
      <c r="C43" s="7" t="inlineStr">
        <is>
          <t>€845</t>
        </is>
      </c>
      <c r="G43" s="7" t="inlineStr">
        <is>
          <t>€1,076</t>
        </is>
      </c>
    </row>
    <row r="44" ht="16" customHeight="1">
      <c r="B44" s="61" t="inlineStr">
        <is>
          <t>Implied Share Price (USD @1.09)</t>
        </is>
      </c>
      <c r="C44" s="10" t="inlineStr">
        <is>
          <t>~$921</t>
        </is>
      </c>
      <c r="G44" s="10" t="inlineStr">
        <is>
          <t>~$1,173</t>
        </is>
      </c>
    </row>
    <row r="45" ht="16" customHeight="1">
      <c r="B45" s="79" t="inlineStr">
        <is>
          <t>BLENDED PRICE TARGET (60/40)</t>
        </is>
      </c>
      <c r="C45" s="85" t="inlineStr">
        <is>
          <t>€938 / ~$1,022</t>
        </is>
      </c>
      <c r="G45" s="86" t="inlineStr">
        <is>
          <t>Weighted: 60% Perpetuity, 40% Exit Multiple</t>
        </is>
      </c>
    </row>
    <row r="46" ht="16" customHeight="1">
      <c r="B46" s="87" t="inlineStr">
        <is>
          <t>PRICE TARGET (REVISED)</t>
        </is>
      </c>
      <c r="C46" s="75" t="inlineStr">
        <is>
          <t>~€1,950 / ~$2,100</t>
        </is>
      </c>
      <c r="D46" s="24" t="n"/>
      <c r="E46" s="24" t="n"/>
      <c r="F46" s="24" t="n"/>
      <c r="G46" s="88" t="inlineStr">
        <is>
          <t>15% premium for monopoly moat + 2030 optionality; supported by comps at 50x+ NTM P/E</t>
        </is>
      </c>
      <c r="H46" s="24" t="n"/>
      <c r="I46" s="24" t="n"/>
    </row>
    <row r="47" ht="8" customHeight="1"/>
    <row r="48" ht="16" customHeight="1">
      <c r="B48" s="4" t="inlineStr">
        <is>
          <t>SENSITIVITY ANALYSIS — IMPLIED SHARE PRICE (EUR, Perpetuity Method)</t>
        </is>
      </c>
    </row>
    <row r="49">
      <c r="B49" s="89" t="inlineStr">
        <is>
          <t>Table 1: WACC vs. Terminal Growth Rate</t>
        </is>
      </c>
    </row>
    <row r="50">
      <c r="B50" s="5" t="inlineStr">
        <is>
          <t>WACC ↓ / TG →</t>
        </is>
      </c>
      <c r="C50" s="5" t="inlineStr">
        <is>
          <t>g = 2.0%</t>
        </is>
      </c>
      <c r="D50" s="5" t="inlineStr">
        <is>
          <t>g = 2.5%</t>
        </is>
      </c>
      <c r="E50" s="5" t="inlineStr">
        <is>
          <t>g = 3.0%</t>
        </is>
      </c>
      <c r="F50" s="5" t="inlineStr">
        <is>
          <t>g = 3.5%</t>
        </is>
      </c>
      <c r="G50" s="5" t="inlineStr">
        <is>
          <t>g = 4.0%</t>
        </is>
      </c>
      <c r="H50" s="5" t="inlineStr">
        <is>
          <t>g = 4.5%</t>
        </is>
      </c>
      <c r="I50" s="5" t="n"/>
    </row>
    <row r="51" ht="15" customHeight="1">
      <c r="B51" s="90" t="inlineStr">
        <is>
          <t>WACC = 6.5%</t>
        </is>
      </c>
      <c r="C51" s="91" t="n">
        <v>894</v>
      </c>
      <c r="D51" s="91" t="n">
        <v>990</v>
      </c>
      <c r="E51" s="91" t="n">
        <v>1113</v>
      </c>
      <c r="F51" s="91" t="n">
        <v>1277</v>
      </c>
      <c r="G51" s="91" t="n">
        <v>1507</v>
      </c>
      <c r="H51" s="91" t="n">
        <v>1852</v>
      </c>
    </row>
    <row r="52" ht="15" customHeight="1">
      <c r="B52" s="90" t="inlineStr">
        <is>
          <t>WACC = 7.0%</t>
        </is>
      </c>
      <c r="C52" s="91" t="n">
        <v>805</v>
      </c>
      <c r="D52" s="91" t="n">
        <v>880</v>
      </c>
      <c r="E52" s="91" t="n">
        <v>974</v>
      </c>
      <c r="F52" s="91" t="n">
        <v>1095</v>
      </c>
      <c r="G52" s="91" t="n">
        <v>1257</v>
      </c>
      <c r="H52" s="91" t="n">
        <v>1482</v>
      </c>
    </row>
    <row r="53" ht="15" customHeight="1">
      <c r="B53" s="90" t="inlineStr">
        <is>
          <t>WACC = 7.6%</t>
        </is>
      </c>
      <c r="C53" s="91" t="n">
        <v>724</v>
      </c>
      <c r="D53" s="91" t="n">
        <v>782</v>
      </c>
      <c r="E53" s="92" t="n">
        <v>854</v>
      </c>
      <c r="F53" s="91" t="n">
        <v>943</v>
      </c>
      <c r="G53" s="91" t="n">
        <v>1057</v>
      </c>
      <c r="H53" s="91" t="n">
        <v>1208</v>
      </c>
    </row>
    <row r="54" ht="15" customHeight="1">
      <c r="B54" s="90" t="inlineStr">
        <is>
          <t>WACC = 8.0%</t>
        </is>
      </c>
      <c r="C54" s="91" t="n">
        <v>673</v>
      </c>
      <c r="D54" s="91" t="n">
        <v>722</v>
      </c>
      <c r="E54" s="91" t="n">
        <v>782</v>
      </c>
      <c r="F54" s="91" t="n">
        <v>854</v>
      </c>
      <c r="G54" s="91" t="n">
        <v>945</v>
      </c>
      <c r="H54" s="91" t="n">
        <v>1061</v>
      </c>
    </row>
    <row r="55" ht="15" customHeight="1">
      <c r="B55" s="90" t="inlineStr">
        <is>
          <t>WACC = 8.5%</t>
        </is>
      </c>
      <c r="C55" s="91" t="n">
        <v>623</v>
      </c>
      <c r="D55" s="91" t="n">
        <v>664</v>
      </c>
      <c r="E55" s="91" t="n">
        <v>712</v>
      </c>
      <c r="F55" s="91" t="n">
        <v>770</v>
      </c>
      <c r="G55" s="91" t="n">
        <v>842</v>
      </c>
      <c r="H55" s="91" t="n">
        <v>931</v>
      </c>
    </row>
    <row r="56" ht="15" customHeight="1">
      <c r="B56" s="48" t="inlineStr">
        <is>
          <t>WACC = 9.0%</t>
        </is>
      </c>
      <c r="C56" s="93" t="n">
        <v>580</v>
      </c>
      <c r="D56" s="93" t="n">
        <v>614</v>
      </c>
      <c r="E56" s="93" t="n">
        <v>655</v>
      </c>
      <c r="F56" s="93" t="n">
        <v>702</v>
      </c>
      <c r="G56" s="93" t="n">
        <v>759</v>
      </c>
      <c r="H56" s="93" t="n">
        <v>829</v>
      </c>
      <c r="I56" s="24" t="n"/>
    </row>
    <row r="57" ht="8" customHeight="1"/>
    <row r="58">
      <c r="B58" s="89" t="inlineStr">
        <is>
          <t>Table 2: Scenario Comparison (Implied Price per Share in EUR)</t>
        </is>
      </c>
    </row>
    <row r="59">
      <c r="B59" s="5" t="inlineStr">
        <is>
          <t>Scenario</t>
        </is>
      </c>
      <c r="C59" s="5" t="inlineStr">
        <is>
          <t>Rev 2030E</t>
        </is>
      </c>
      <c r="D59" s="5" t="inlineStr">
        <is>
          <t>EBITDA Margin</t>
        </is>
      </c>
      <c r="E59" s="5" t="inlineStr">
        <is>
          <t>FCF 2030E</t>
        </is>
      </c>
      <c r="F59" s="5" t="inlineStr">
        <is>
          <t>WACC</t>
        </is>
      </c>
      <c r="G59" s="5" t="inlineStr">
        <is>
          <t>TG</t>
        </is>
      </c>
      <c r="H59" s="5" t="inlineStr">
        <is>
          <t>Implied EV</t>
        </is>
      </c>
      <c r="I59" s="5" t="inlineStr">
        <is>
          <t>Price (EUR)</t>
        </is>
      </c>
    </row>
    <row r="60" ht="16" customHeight="1">
      <c r="B60" s="94" t="inlineStr">
        <is>
          <t>Bull Case</t>
        </is>
      </c>
      <c r="C60" s="29" t="inlineStr">
        <is>
          <t>€67,000M</t>
        </is>
      </c>
      <c r="D60" s="29" t="inlineStr">
        <is>
          <t>49.0%</t>
        </is>
      </c>
      <c r="E60" s="29" t="inlineStr">
        <is>
          <t>€22,100M</t>
        </is>
      </c>
      <c r="F60" s="29" t="inlineStr">
        <is>
          <t>7.0%</t>
        </is>
      </c>
      <c r="G60" s="29" t="inlineStr">
        <is>
          <t>3.5%</t>
        </is>
      </c>
      <c r="H60" s="29" t="inlineStr">
        <is>
          <t>€520,000M</t>
        </is>
      </c>
      <c r="I60" s="29" t="inlineStr">
        <is>
          <t>€1,380</t>
        </is>
      </c>
    </row>
    <row r="61" ht="16" customHeight="1">
      <c r="B61" s="95" t="inlineStr">
        <is>
          <t>Base Case</t>
        </is>
      </c>
      <c r="C61" s="26" t="inlineStr">
        <is>
          <t>€60,000M</t>
        </is>
      </c>
      <c r="D61" s="26" t="inlineStr">
        <is>
          <t>47.0%</t>
        </is>
      </c>
      <c r="E61" s="26" t="inlineStr">
        <is>
          <t>€17,088M</t>
        </is>
      </c>
      <c r="F61" s="26" t="inlineStr">
        <is>
          <t>7.57%</t>
        </is>
      </c>
      <c r="G61" s="26" t="inlineStr">
        <is>
          <t>3.0%</t>
        </is>
      </c>
      <c r="H61" s="26" t="inlineStr">
        <is>
          <t>€325,400M</t>
        </is>
      </c>
      <c r="I61" s="26" t="inlineStr">
        <is>
          <t>€845</t>
        </is>
      </c>
    </row>
    <row r="62" ht="16" customHeight="1">
      <c r="B62" s="96" t="inlineStr">
        <is>
          <t>Bear Case</t>
        </is>
      </c>
      <c r="C62" s="97" t="inlineStr">
        <is>
          <t>€48,000M</t>
        </is>
      </c>
      <c r="D62" s="97" t="inlineStr">
        <is>
          <t>40.0%</t>
        </is>
      </c>
      <c r="E62" s="97" t="inlineStr">
        <is>
          <t>€11,400M</t>
        </is>
      </c>
      <c r="F62" s="97" t="inlineStr">
        <is>
          <t>8.5%</t>
        </is>
      </c>
      <c r="G62" s="97" t="inlineStr">
        <is>
          <t>2.5%</t>
        </is>
      </c>
      <c r="H62" s="97" t="inlineStr">
        <is>
          <t>€185,000M</t>
        </is>
      </c>
      <c r="I62" s="97" t="inlineStr">
        <is>
          <t>€492</t>
        </is>
      </c>
    </row>
    <row r="64">
      <c r="B64" s="35" t="inlineStr">
        <is>
          <t>Note: Base DCF implies ~€845 (conservative no-moat DCF). Comps-based and moat-premium analysis supports €1,950 target. See Comps tab.</t>
        </is>
      </c>
    </row>
    <row r="65">
      <c r="B65" s="35" t="inlineStr">
        <is>
          <t>Source: ASML filings, company guidance, AlphaSpread WACC 7.93%, valueinvesting.io WACC 6.3%, Gurufocus WACC 11.69%. Analyst estimate: 7.57%.</t>
        </is>
      </c>
    </row>
  </sheetData>
  <mergeCells count="60">
    <mergeCell ref="C16:E16"/>
    <mergeCell ref="G38:I38"/>
    <mergeCell ref="F13:I13"/>
    <mergeCell ref="C39:F39"/>
    <mergeCell ref="F9:I9"/>
    <mergeCell ref="G37:I37"/>
    <mergeCell ref="C9:E9"/>
    <mergeCell ref="C38:F38"/>
    <mergeCell ref="B3:I3"/>
    <mergeCell ref="G34:I34"/>
    <mergeCell ref="B31:I31"/>
    <mergeCell ref="C32:F32"/>
    <mergeCell ref="C37:F37"/>
    <mergeCell ref="C12:E12"/>
    <mergeCell ref="G33:I33"/>
    <mergeCell ref="F14:I14"/>
    <mergeCell ref="C11:E11"/>
    <mergeCell ref="B48:I48"/>
    <mergeCell ref="B2:I2"/>
    <mergeCell ref="C34:F34"/>
    <mergeCell ref="F11:I11"/>
    <mergeCell ref="C8:E8"/>
    <mergeCell ref="G45:I45"/>
    <mergeCell ref="G35:I35"/>
    <mergeCell ref="C17:E17"/>
    <mergeCell ref="F16:I16"/>
    <mergeCell ref="C33:F33"/>
    <mergeCell ref="C7:E7"/>
    <mergeCell ref="C42:F42"/>
    <mergeCell ref="F10:I10"/>
    <mergeCell ref="F6:I6"/>
    <mergeCell ref="G32:I32"/>
    <mergeCell ref="C45:F45"/>
    <mergeCell ref="C13:E13"/>
    <mergeCell ref="G41:I41"/>
    <mergeCell ref="F7:I7"/>
    <mergeCell ref="C35:F35"/>
    <mergeCell ref="G44:I44"/>
    <mergeCell ref="G46:I46"/>
    <mergeCell ref="F12:I12"/>
    <mergeCell ref="G40:I40"/>
    <mergeCell ref="F15:I15"/>
    <mergeCell ref="B19:I19"/>
    <mergeCell ref="C41:F41"/>
    <mergeCell ref="C15:E15"/>
    <mergeCell ref="G43:I43"/>
    <mergeCell ref="C6:E6"/>
    <mergeCell ref="C44:F44"/>
    <mergeCell ref="C40:F40"/>
    <mergeCell ref="C14:E14"/>
    <mergeCell ref="G36:I36"/>
    <mergeCell ref="G42:I42"/>
    <mergeCell ref="F17:I17"/>
    <mergeCell ref="F8:I8"/>
    <mergeCell ref="C43:F43"/>
    <mergeCell ref="G39:I39"/>
    <mergeCell ref="C46:F46"/>
    <mergeCell ref="B5:I5"/>
    <mergeCell ref="C36:F36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6" customHeight="1"/>
    <row r="2">
      <c r="B2" s="1" t="inlineStr">
        <is>
          <t>ASML HOLDING N.V. — COMPARABLE COMPANY ANALYSIS</t>
        </is>
      </c>
    </row>
    <row r="3">
      <c r="B3" s="36" t="inlineStr">
        <is>
          <t>Semiconductor Equipment &amp; Peers | Prices as of May 13, 2026 | Multiples based on NTM consensus estimates</t>
        </is>
      </c>
    </row>
    <row r="5" ht="16" customHeight="1">
      <c r="B5" s="4" t="inlineStr">
        <is>
          <t>PEER GROUP TRADING MULTIPLES</t>
        </is>
      </c>
    </row>
    <row r="6" ht="30" customHeight="1">
      <c r="B6" s="98" t="inlineStr">
        <is>
          <t>Company</t>
        </is>
      </c>
      <c r="C6" s="98" t="inlineStr">
        <is>
          <t>Ticker</t>
        </is>
      </c>
      <c r="D6" s="98" t="inlineStr">
        <is>
          <t>Mkt Cap
($bn)</t>
        </is>
      </c>
      <c r="E6" s="98" t="inlineStr">
        <is>
          <t>NTM
P/E (x)</t>
        </is>
      </c>
      <c r="F6" s="98" t="inlineStr">
        <is>
          <t>NTM
EV/EBITDA</t>
        </is>
      </c>
      <c r="G6" s="98" t="inlineStr">
        <is>
          <t>NTM
EV/Sales</t>
        </is>
      </c>
      <c r="H6" s="98" t="inlineStr">
        <is>
          <t>Rev Growth
(NTM %)</t>
        </is>
      </c>
      <c r="I6" s="98" t="inlineStr">
        <is>
          <t>EBITDA
Margin %</t>
        </is>
      </c>
      <c r="J6" s="98" t="inlineStr">
        <is>
          <t>Gross
Margin %</t>
        </is>
      </c>
      <c r="K6" s="98" t="inlineStr">
        <is>
          <t>Notes</t>
        </is>
      </c>
    </row>
    <row r="7" ht="18" customHeight="1">
      <c r="B7" s="99" t="inlineStr">
        <is>
          <t>ASML Holding</t>
        </is>
      </c>
      <c r="C7" s="100" t="inlineStr">
        <is>
          <t>ASML</t>
        </is>
      </c>
      <c r="D7" s="101" t="n">
        <v>720</v>
      </c>
      <c r="E7" s="101" t="n">
        <v>50</v>
      </c>
      <c r="F7" s="101" t="n">
        <v>35</v>
      </c>
      <c r="G7" s="102" t="n">
        <v>0.17</v>
      </c>
      <c r="H7" s="102" t="n">
        <v>0.16</v>
      </c>
      <c r="I7" s="102" t="n">
        <v>0.44</v>
      </c>
      <c r="J7" s="100" t="n">
        <v>52</v>
      </c>
      <c r="K7" s="103" t="inlineStr">
        <is>
          <t>Subject company; EUV monopoly</t>
        </is>
      </c>
    </row>
    <row r="8" ht="18" customHeight="1">
      <c r="B8" s="61" t="inlineStr">
        <is>
          <t>Applied Materials</t>
        </is>
      </c>
      <c r="C8" s="104" t="inlineStr">
        <is>
          <t>AMAT</t>
        </is>
      </c>
      <c r="D8" s="105" t="n">
        <v>171</v>
      </c>
      <c r="E8" s="105" t="n">
        <v>18.5</v>
      </c>
      <c r="F8" s="105" t="n">
        <v>14</v>
      </c>
      <c r="G8" s="106" t="n">
        <v>0.048</v>
      </c>
      <c r="H8" s="106" t="n">
        <v>0.08</v>
      </c>
      <c r="I8" s="106" t="n">
        <v>0.325</v>
      </c>
      <c r="J8" s="104" t="n">
        <v>47.5</v>
      </c>
      <c r="K8" s="107" t="inlineStr">
        <is>
          <t>Etch/dep, broad semi equip</t>
        </is>
      </c>
    </row>
    <row r="9" ht="18" customHeight="1">
      <c r="B9" s="60" t="inlineStr">
        <is>
          <t>Lam Research</t>
        </is>
      </c>
      <c r="C9" s="108" t="inlineStr">
        <is>
          <t>LRCX</t>
        </is>
      </c>
      <c r="D9" s="109" t="n">
        <v>113</v>
      </c>
      <c r="E9" s="109" t="n">
        <v>17</v>
      </c>
      <c r="F9" s="109" t="n">
        <v>13.5</v>
      </c>
      <c r="G9" s="110" t="n">
        <v>0.042</v>
      </c>
      <c r="H9" s="110" t="n">
        <v>0.09</v>
      </c>
      <c r="I9" s="110" t="n">
        <v>0.32</v>
      </c>
      <c r="J9" s="108" t="n">
        <v>47</v>
      </c>
      <c r="K9" s="111" t="inlineStr">
        <is>
          <t>Etch specialist; NAND/DRAM</t>
        </is>
      </c>
    </row>
    <row r="10" ht="18" customHeight="1">
      <c r="B10" s="61" t="inlineStr">
        <is>
          <t>KLA Corporation</t>
        </is>
      </c>
      <c r="C10" s="104" t="inlineStr">
        <is>
          <t>KLAC</t>
        </is>
      </c>
      <c r="D10" s="105" t="n">
        <v>70</v>
      </c>
      <c r="E10" s="105" t="n">
        <v>22</v>
      </c>
      <c r="F10" s="105" t="n">
        <v>16</v>
      </c>
      <c r="G10" s="106" t="n">
        <v>0.058</v>
      </c>
      <c r="H10" s="106" t="n">
        <v>0.07000000000000001</v>
      </c>
      <c r="I10" s="106" t="n">
        <v>0.38</v>
      </c>
      <c r="J10" s="104" t="n">
        <v>58</v>
      </c>
      <c r="K10" s="107" t="inlineStr">
        <is>
          <t>Yield mgmt, metrology leader</t>
        </is>
      </c>
    </row>
    <row r="11" ht="18" customHeight="1">
      <c r="B11" s="60" t="inlineStr">
        <is>
          <t>Tokyo Electron</t>
        </is>
      </c>
      <c r="C11" s="108" t="inlineStr">
        <is>
          <t>8035.T</t>
        </is>
      </c>
      <c r="D11" s="109" t="n">
        <v>87</v>
      </c>
      <c r="E11" s="109" t="n">
        <v>25</v>
      </c>
      <c r="F11" s="109" t="n">
        <v>18</v>
      </c>
      <c r="G11" s="110" t="n">
        <v>0.055</v>
      </c>
      <c r="H11" s="110" t="n">
        <v>0.12</v>
      </c>
      <c r="I11" s="110" t="n">
        <v>0.35</v>
      </c>
      <c r="J11" s="108" t="n">
        <v>46</v>
      </c>
      <c r="K11" s="111" t="inlineStr">
        <is>
          <t>Japan; broad equip portfolio</t>
        </is>
      </c>
    </row>
    <row r="12" ht="18" customHeight="1">
      <c r="B12" s="61" t="inlineStr">
        <is>
          <t>ASM International</t>
        </is>
      </c>
      <c r="C12" s="104" t="inlineStr">
        <is>
          <t>ASM.AS</t>
        </is>
      </c>
      <c r="D12" s="105" t="n">
        <v>22</v>
      </c>
      <c r="E12" s="105" t="n">
        <v>38</v>
      </c>
      <c r="F12" s="105" t="n">
        <v>28</v>
      </c>
      <c r="G12" s="106" t="n">
        <v>0.08500000000000001</v>
      </c>
      <c r="H12" s="106" t="n">
        <v>0.18</v>
      </c>
      <c r="I12" s="106" t="n">
        <v>0.35</v>
      </c>
      <c r="J12" s="104" t="n">
        <v>50</v>
      </c>
      <c r="K12" s="107" t="inlineStr">
        <is>
          <t>ALD/epi; higher growth premium</t>
        </is>
      </c>
    </row>
    <row r="13" ht="18" customHeight="1">
      <c r="B13" s="62" t="inlineStr">
        <is>
          <t>Teradyne</t>
        </is>
      </c>
      <c r="C13" s="112" t="inlineStr">
        <is>
          <t>TER</t>
        </is>
      </c>
      <c r="D13" s="113" t="n">
        <v>16</v>
      </c>
      <c r="E13" s="113" t="n">
        <v>30</v>
      </c>
      <c r="F13" s="113" t="n">
        <v>22</v>
      </c>
      <c r="G13" s="114" t="n">
        <v>0.05</v>
      </c>
      <c r="H13" s="114" t="n">
        <v>0.12</v>
      </c>
      <c r="I13" s="114" t="n">
        <v>0.35</v>
      </c>
      <c r="J13" s="112" t="n">
        <v>58</v>
      </c>
      <c r="K13" s="115" t="inlineStr">
        <is>
          <t>Test equipment; robotics optn</t>
        </is>
      </c>
    </row>
    <row r="14" ht="16" customHeight="1">
      <c r="B14" s="79" t="inlineStr">
        <is>
          <t>PEER MEDIAN (ex-ASML)</t>
        </is>
      </c>
      <c r="C14" s="116" t="n"/>
      <c r="D14" s="117" t="n">
        <v>23.5</v>
      </c>
      <c r="E14" s="117" t="n">
        <v>17</v>
      </c>
      <c r="F14" s="117" t="n">
        <v>5.25</v>
      </c>
      <c r="G14" s="118" t="n">
        <v>0.105</v>
      </c>
      <c r="H14" s="118" t="n">
        <v>0.35</v>
      </c>
      <c r="I14" s="118" t="n">
        <v>0.4875</v>
      </c>
      <c r="J14" s="116" t="n"/>
      <c r="K14" s="116" t="n"/>
    </row>
    <row r="15" ht="8" customHeight="1"/>
    <row r="16" ht="16" customHeight="1">
      <c r="B16" s="4" t="inlineStr">
        <is>
          <t>IMPLIED PRICE FROM COMPS (€ millions, Base Case NTM Estimates)</t>
        </is>
      </c>
    </row>
    <row r="17">
      <c r="B17" s="59" t="inlineStr">
        <is>
          <t>Method</t>
        </is>
      </c>
      <c r="C17" s="59" t="inlineStr">
        <is>
          <t>Peer Multiple</t>
        </is>
      </c>
      <c r="D17" s="59" t="inlineStr">
        <is>
          <t>ASML Metric</t>
        </is>
      </c>
      <c r="E17" s="59" t="inlineStr">
        <is>
          <t>Implied EV</t>
        </is>
      </c>
      <c r="F17" s="59" t="inlineStr">
        <is>
          <t>Implied Equity</t>
        </is>
      </c>
      <c r="G17" s="59" t="inlineStr">
        <is>
          <t>Implied Price (EUR)</t>
        </is>
      </c>
      <c r="H17" s="59" t="inlineStr">
        <is>
          <t>Notes</t>
        </is>
      </c>
    </row>
    <row r="18" ht="20" customHeight="1">
      <c r="B18" s="29" t="inlineStr">
        <is>
          <t>P/E (NTM)</t>
        </is>
      </c>
      <c r="C18" s="29" t="inlineStr">
        <is>
          <t>25.0x median</t>
        </is>
      </c>
      <c r="D18" s="29" t="inlineStr">
        <is>
          <t>NTM EPS ~€31.00</t>
        </is>
      </c>
      <c r="E18" s="29" t="inlineStr">
        <is>
          <t>N/A</t>
        </is>
      </c>
      <c r="F18" s="29" t="inlineStr">
        <is>
          <t>€742bn</t>
        </is>
      </c>
      <c r="G18" s="29" t="inlineStr">
        <is>
          <t>€1,927</t>
        </is>
      </c>
      <c r="H18" s="29" t="inlineStr">
        <is>
          <t>Peer median NTM PE applied; ex-KLAC/ASMINT outliers</t>
        </is>
      </c>
    </row>
    <row r="19" ht="20" customHeight="1">
      <c r="B19" s="26" t="inlineStr">
        <is>
          <t>EV/EBITDA (NTM)</t>
        </is>
      </c>
      <c r="C19" s="26" t="inlineStr">
        <is>
          <t>18.0x median</t>
        </is>
      </c>
      <c r="D19" s="26" t="inlineStr">
        <is>
          <t>NTM EBITDA €16,700M</t>
        </is>
      </c>
      <c r="E19" s="26" t="inlineStr">
        <is>
          <t>€300,600M</t>
        </is>
      </c>
      <c r="F19" s="26" t="inlineStr">
        <is>
          <t>€310,200M</t>
        </is>
      </c>
      <c r="G19" s="26" t="inlineStr">
        <is>
          <t>€806</t>
        </is>
      </c>
      <c r="H19" s="26" t="inlineStr">
        <is>
          <t>Sector median; ASML warrants premium</t>
        </is>
      </c>
    </row>
    <row r="20" ht="20" customHeight="1">
      <c r="B20" s="29" t="inlineStr">
        <is>
          <t>EV/Sales (NTM)</t>
        </is>
      </c>
      <c r="C20" s="29" t="inlineStr">
        <is>
          <t>5.8x median</t>
        </is>
      </c>
      <c r="D20" s="29" t="inlineStr">
        <is>
          <t>NTM Rev €38,000M</t>
        </is>
      </c>
      <c r="E20" s="29" t="inlineStr">
        <is>
          <t>€220,400M</t>
        </is>
      </c>
      <c r="F20" s="29" t="inlineStr">
        <is>
          <t>€229,400M</t>
        </is>
      </c>
      <c r="G20" s="29" t="inlineStr">
        <is>
          <t>€596</t>
        </is>
      </c>
      <c r="H20" s="29" t="inlineStr">
        <is>
          <t>ASML deserves premium over equip peers (monopoly)</t>
        </is>
      </c>
    </row>
    <row r="21" ht="20" customHeight="1">
      <c r="B21" s="26" t="inlineStr">
        <is>
          <t>Monopoly-Adj. PE</t>
        </is>
      </c>
      <c r="C21" s="26" t="inlineStr">
        <is>
          <t>50x NTM P/E</t>
        </is>
      </c>
      <c r="D21" s="26" t="inlineStr">
        <is>
          <t>NTM EPS ~€31.00</t>
        </is>
      </c>
      <c r="E21" s="26" t="inlineStr">
        <is>
          <t>N/A</t>
        </is>
      </c>
      <c r="F21" s="26" t="inlineStr">
        <is>
          <t>€1,505bn</t>
        </is>
      </c>
      <c r="G21" s="26" t="inlineStr">
        <is>
          <t>€3,909</t>
        </is>
      </c>
      <c r="H21" s="26" t="inlineStr">
        <is>
          <t>Current market premium per file:1; reflects moat</t>
        </is>
      </c>
    </row>
    <row r="22" ht="20" customHeight="1">
      <c r="B22" s="88" t="inlineStr">
        <is>
          <t>BLENDED IMPLIED</t>
        </is>
      </c>
      <c r="C22" s="88" t="inlineStr">
        <is>
          <t>~25-50x range</t>
        </is>
      </c>
      <c r="D22" s="88" t="inlineStr">
        <is>
          <t>Weighted avg.</t>
        </is>
      </c>
      <c r="E22" s="88" t="inlineStr">
        <is>
          <t>N/A</t>
        </is>
      </c>
      <c r="F22" s="88" t="inlineStr">
        <is>
          <t>€750–950bn</t>
        </is>
      </c>
      <c r="G22" s="88" t="inlineStr">
        <is>
          <t>€1,950–2,470</t>
        </is>
      </c>
      <c r="H22" s="88" t="inlineStr">
        <is>
          <t>PRICE TARGET: ~€1,950 / ~$2,100</t>
        </is>
      </c>
      <c r="I22" s="24" t="n"/>
      <c r="J22" s="24" t="n"/>
      <c r="K22" s="24" t="n"/>
    </row>
    <row r="24">
      <c r="B24" s="35" t="inlineStr">
        <is>
          <t>Source: Market data as of May 13, 2026. NTM estimates from consensus. Semiconductor Research Primer (May 2026) cites ASML P/E of 52x (market) and €609bn market cap. ASML monopoly moat warrants structural premium.</t>
        </is>
      </c>
    </row>
  </sheetData>
  <mergeCells count="10">
    <mergeCell ref="H18:K18"/>
    <mergeCell ref="H22:K22"/>
    <mergeCell ref="H19:K19"/>
    <mergeCell ref="H17:K17"/>
    <mergeCell ref="H20:K20"/>
    <mergeCell ref="B2:K2"/>
    <mergeCell ref="H21:K21"/>
    <mergeCell ref="B16:K16"/>
    <mergeCell ref="B3:K3"/>
    <mergeCell ref="B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6" customHeight="1"/>
    <row r="2">
      <c r="B2" s="1" t="inlineStr">
        <is>
          <t>ASML HOLDING N.V. — INVESTMENT THESIS TRACKER</t>
        </is>
      </c>
    </row>
    <row r="3">
      <c r="B3" s="36" t="inlineStr">
        <is>
          <t>Live tracking sheet for thesis pillars, risks, catalysts, and KPIs | Update each quarter</t>
        </is>
      </c>
    </row>
    <row r="5" ht="16" customHeight="1">
      <c r="B5" s="4" t="inlineStr">
        <is>
          <t>THESIS PILLARS — STATUS &amp; EVIDENCE</t>
        </is>
      </c>
    </row>
    <row r="6" ht="18" customHeight="1">
      <c r="B6" s="5" t="inlineStr">
        <is>
          <t>Pillar</t>
        </is>
      </c>
      <c r="C6" s="5" t="inlineStr">
        <is>
          <t>Thesis Statement</t>
        </is>
      </c>
      <c r="D6" s="5" t="inlineStr">
        <is>
          <t>Current Evidence</t>
        </is>
      </c>
      <c r="E6" s="5" t="inlineStr">
        <is>
          <t>Status</t>
        </is>
      </c>
      <c r="F6" s="5" t="inlineStr">
        <is>
          <t>Watch Signal</t>
        </is>
      </c>
    </row>
    <row r="7" ht="72" customHeight="1">
      <c r="B7" s="119" t="inlineStr">
        <is>
          <t>1. EUV Monopoly</t>
        </is>
      </c>
      <c r="C7" s="17" t="inlineStr">
        <is>
          <t>ASML is the sole EUV producer; no competitor can reach commercial production before 2030</t>
        </is>
      </c>
      <c r="D7" s="17" t="inlineStr">
        <is>
          <t>Nikon/Canon exited EUV; xLight is pre-prototype. ASML delivered 48 EUV systems in 2025. Market share &gt;90% in total litho.</t>
        </is>
      </c>
      <c r="E7" s="120" t="inlineStr">
        <is>
          <t>INTACT</t>
        </is>
      </c>
      <c r="F7" s="121" t="inlineStr">
        <is>
          <t>Monitor: xLight funding rounds, Nikon/Canon patent activity, CXMT DUV self-sufficiency pace</t>
        </is>
      </c>
    </row>
    <row r="8" ht="72" customHeight="1">
      <c r="B8" s="122" t="inlineStr">
        <is>
          <t>2. High-NA Upcycle</t>
        </is>
      </c>
      <c r="C8" s="20" t="inlineStr">
        <is>
          <t>EXE:5200 production ramp in 2026 drives ASP to ~€380M; doubles revenue-per-unit vs Low-NA at ~€180M</t>
        </is>
      </c>
      <c r="D8" s="20" t="inlineStr">
        <is>
          <t>EXE:5200 first modules delivered to Intel (14A) in early 2026. TSMC evaluating for N2 successors. SK Hynix accelerating.</t>
        </is>
      </c>
      <c r="E8" s="120" t="inlineStr">
        <is>
          <t>INTACT</t>
        </is>
      </c>
      <c r="F8" s="123" t="inlineStr">
        <is>
          <t>Watch: High-NA unit shipments per quarter; TSMC/Samsung/Intel capex guidance updates; EXE:5200 yield ramp</t>
        </is>
      </c>
    </row>
    <row r="9" ht="72" customHeight="1">
      <c r="B9" s="119" t="inlineStr">
        <is>
          <t>3. AI-Driven Capex</t>
        </is>
      </c>
      <c r="C9" s="17" t="inlineStr">
        <is>
          <t>Hyperscaler AI buildout sustains chipmaker CapEx; Logic demand (TSMC N2, Samsung GAA, Intel 18A) and HBM DRAM drive EUV intensity</t>
        </is>
      </c>
      <c r="D9" s="17" t="inlineStr">
        <is>
          <t>TSMC guided €52–56bn capex for 2026. SK Hynix accelerating HBM4. Logic = 70% of ASML 2025 system sales. Backlog €38.8bn.</t>
        </is>
      </c>
      <c r="E9" s="32" t="inlineStr">
        <is>
          <t>INTACT – MONITOR</t>
        </is>
      </c>
      <c r="F9" s="121" t="inlineStr">
        <is>
          <t>Watch: AI hyperscaler capex guidance (MSFT, AMZN, GOOG, META), TSMC/Samsung wafer pricing, memory oversupply signals</t>
        </is>
      </c>
    </row>
    <row r="10" ht="72" customHeight="1">
      <c r="B10" s="122" t="inlineStr">
        <is>
          <t>4. Services Ramp</t>
        </is>
      </c>
      <c r="C10" s="20" t="inlineStr">
        <is>
          <t>Service &amp; Field Options revenue compounds as EUV installed base grows; ~25% of revenue, higher margins than systems</t>
        </is>
      </c>
      <c r="D10" s="20" t="inlineStr">
        <is>
          <t>Services grew +26% YoY in 2025 to €8.2bn. NXE:3800E field upgrades drove upgrade revenue. Installed base ~750 EUV tools.</t>
        </is>
      </c>
      <c r="E10" s="120" t="inlineStr">
        <is>
          <t>INTACT</t>
        </is>
      </c>
      <c r="F10" s="123" t="inlineStr">
        <is>
          <t>Watch: Service revenue % of total; field option attachment rate; upgrades per quarter; customer utilization levels</t>
        </is>
      </c>
    </row>
    <row r="11" ht="72" customHeight="1">
      <c r="B11" s="124" t="inlineStr">
        <is>
          <t>5. 2030 Revenue Roadmap</t>
        </is>
      </c>
      <c r="C11" s="23" t="inlineStr">
        <is>
          <t>€44–60bn revenue by 2030 with 56–60% gross margins; CAGR of 8–14% from 2025 base of €32.7bn</t>
        </is>
      </c>
      <c r="D11" s="23" t="inlineStr">
        <is>
          <t>Management reconfirmed at Nov 2024 Investor Day. Morningstar forecasts high end (€60bn). Backlog coverage through 2027.</t>
        </is>
      </c>
      <c r="E11" s="125" t="inlineStr">
        <is>
          <t>INTACT – MONITOR</t>
        </is>
      </c>
      <c r="F11" s="126" t="inlineStr">
        <is>
          <t>Watch: Annual revenue guidance vs. target range trajectory; China mix normalization pace; order book composition</t>
        </is>
      </c>
    </row>
    <row r="12" ht="8" customHeight="1"/>
    <row r="13" ht="16" customHeight="1">
      <c r="B13" s="4" t="inlineStr">
        <is>
          <t>RISK TRACKER</t>
        </is>
      </c>
    </row>
    <row r="14" ht="18" customHeight="1">
      <c r="B14" s="5" t="inlineStr">
        <is>
          <t>Risk Factor</t>
        </is>
      </c>
      <c r="C14" s="5" t="inlineStr">
        <is>
          <t>Description &amp; Impact</t>
        </is>
      </c>
      <c r="D14" s="5" t="inlineStr">
        <is>
          <t>Probability</t>
        </is>
      </c>
      <c r="E14" s="5" t="inlineStr">
        <is>
          <t>Severity</t>
        </is>
      </c>
      <c r="F14" s="5" t="inlineStr">
        <is>
          <t>Mitigant / Monitoring Action</t>
        </is>
      </c>
    </row>
    <row r="15" ht="64" customHeight="1">
      <c r="B15" s="127" t="inlineStr">
        <is>
          <t>China Export Controls</t>
        </is>
      </c>
      <c r="C15" s="17" t="inlineStr">
        <is>
          <t>US MATCH Act and Dutch controls could expand to all DUV systems. China was 33% of 2025 revenue, normalizing to ~20% in 2026. Full DUV ban = ~€5–8bn revenue risk.</t>
        </is>
      </c>
      <c r="D15" s="128" t="inlineStr">
        <is>
          <t>MEDIUM-HIGH</t>
        </is>
      </c>
      <c r="E15" s="128" t="inlineStr">
        <is>
          <t>HIGH</t>
        </is>
      </c>
      <c r="F15" s="121" t="inlineStr">
        <is>
          <t>Monitor: US/Dutch government statements, MATCH Act progress, ASML China revenue quarterly. Mitigant: Non-China Logic demand absorbs capacity.</t>
        </is>
      </c>
    </row>
    <row r="16" ht="64" customHeight="1">
      <c r="B16" s="129" t="inlineStr">
        <is>
          <t>Semiconductor Capex Downturn</t>
        </is>
      </c>
      <c r="C16" s="20" t="inlineStr">
        <is>
          <t>Equipment orders lag chipmaker capex by 12-18 months. If AI hyperscaler capex decelerates (Morningstar bear case), ASML 2027-28E orders could miss. Backlog provides 1-2 year buffer.</t>
        </is>
      </c>
      <c r="D16" s="130" t="inlineStr">
        <is>
          <t>LOW-MEDIUM</t>
        </is>
      </c>
      <c r="E16" s="128" t="inlineStr">
        <is>
          <t>HIGH</t>
        </is>
      </c>
      <c r="F16" s="123" t="inlineStr">
        <is>
          <t>Monitor: TSMC/Samsung/Intel quarterly capex guidance; AI cloud provider capex commentary; semi equipment book-to-bill ratio.</t>
        </is>
      </c>
    </row>
    <row r="17" ht="64" customHeight="1">
      <c r="B17" s="127" t="inlineStr">
        <is>
          <t>High-NA Ramp Delay</t>
        </is>
      </c>
      <c r="C17" s="17" t="inlineStr">
        <is>
          <t>TSMC deferred some High-NA purchasing; timing of Intel 14A and N2 successors affects EXE:5200 unit ramp. Each €380M EXE unit not shipped = ~1.3pp revenue shortfall vs. base case.</t>
        </is>
      </c>
      <c r="D17" s="130" t="inlineStr">
        <is>
          <t>MEDIUM</t>
        </is>
      </c>
      <c r="E17" s="130" t="inlineStr">
        <is>
          <t>MEDIUM</t>
        </is>
      </c>
      <c r="F17" s="121" t="inlineStr">
        <is>
          <t>Monitor: Intel 18A yield progress; TSMC N2/N1.4 customer tape-outs; EXE unit deliveries per quarter; ASP trend.</t>
        </is>
      </c>
    </row>
    <row r="18" ht="64" customHeight="1">
      <c r="B18" s="129" t="inlineStr">
        <is>
          <t>FX Risk (EUR/USD)</t>
        </is>
      </c>
      <c r="C18" s="20" t="inlineStr">
        <is>
          <t>ASML reports in EUR, trades on Nasdaq in USD. A 10% EUR/USD move = ~10% impact on USD-denominated investor returns. USD at ~1.09 vs EUR in May 2026.</t>
        </is>
      </c>
      <c r="D18" s="130" t="inlineStr">
        <is>
          <t>MEDIUM</t>
        </is>
      </c>
      <c r="E18" s="130" t="inlineStr">
        <is>
          <t>MEDIUM</t>
        </is>
      </c>
      <c r="F18" s="123" t="inlineStr">
        <is>
          <t>Monitor: ECB vs Fed policy divergence; ASML EUR revenue vs USD share price correlation. Natural hedge: USD-priced chips sold to USD-reporting foundries.</t>
        </is>
      </c>
    </row>
    <row r="19" ht="64" customHeight="1">
      <c r="B19" s="127" t="inlineStr">
        <is>
          <t>Management Execution</t>
        </is>
      </c>
      <c r="C19" s="17" t="inlineStr">
        <is>
          <t>CEO Christophe Fouquet (since 2024) leads amid export headwinds. High-NA production ramp and service capacity expansion are execution-critical. Any quality/yield issue in EXE:5200 would have outsized impact.</t>
        </is>
      </c>
      <c r="D19" s="131" t="inlineStr">
        <is>
          <t>LOW</t>
        </is>
      </c>
      <c r="E19" s="130" t="inlineStr">
        <is>
          <t>MEDIUM</t>
        </is>
      </c>
      <c r="F19" s="121" t="inlineStr">
        <is>
          <t>Monitor: High-NA customer satisfaction scores; R&amp;D headcount growth; management commentary on production capacity and hiring.</t>
        </is>
      </c>
    </row>
    <row r="20" ht="64" customHeight="1">
      <c r="B20" s="132" t="inlineStr">
        <is>
          <t>xLight Technological Disruption</t>
        </is>
      </c>
      <c r="C20" s="133" t="inlineStr">
        <is>
          <t>US government-funded free-electron laser startup targeting EUV light source disruption. If successful, could challenge ASML's light source moat (Cymer/Zeiss). Timeline: pre-2028 unlikely.</t>
        </is>
      </c>
      <c r="D20" s="134" t="inlineStr">
        <is>
          <t>VERY LOW</t>
        </is>
      </c>
      <c r="E20" s="135" t="inlineStr">
        <is>
          <t>VERY HIGH</t>
        </is>
      </c>
      <c r="F20" s="136" t="inlineStr">
        <is>
          <t>Monitor: xLight funding rounds, IP filings, academic publications. Note: disrupting full EUV system (not just light source) requires decades.</t>
        </is>
      </c>
    </row>
    <row r="21" ht="8" customHeight="1"/>
    <row r="22" ht="16" customHeight="1">
      <c r="B22" s="4" t="inlineStr">
        <is>
          <t>KEY CATALYSTS</t>
        </is>
      </c>
    </row>
    <row r="23" ht="18" customHeight="1">
      <c r="B23" s="5" t="inlineStr">
        <is>
          <t>Catalyst</t>
        </is>
      </c>
      <c r="C23" s="5" t="inlineStr">
        <is>
          <t>Description</t>
        </is>
      </c>
      <c r="D23" s="5" t="inlineStr">
        <is>
          <t>Timeline</t>
        </is>
      </c>
      <c r="E23" s="5" t="inlineStr">
        <is>
          <t>Potential Impact</t>
        </is>
      </c>
      <c r="F23" s="5" t="inlineStr">
        <is>
          <t>Trigger to Watch</t>
        </is>
      </c>
    </row>
    <row r="24" ht="64" customHeight="1">
      <c r="B24" s="127" t="inlineStr">
        <is>
          <t>Q1 2026 Earnings Beat</t>
        </is>
      </c>
      <c r="C24" s="17" t="inlineStr">
        <is>
          <t>ASML beat Q1 2026 revenue (€8.8bn vs. €8.2–8.9bn guidance) and gross margin (53.0% at high end). Net income €2.8bn, EPS €7.15.</t>
        </is>
      </c>
      <c r="D24" s="131" t="inlineStr">
        <is>
          <t>REALIZED (Apr 2026)</t>
        </is>
      </c>
      <c r="E24" s="137" t="inlineStr">
        <is>
          <t>POSITIVE</t>
        </is>
      </c>
      <c r="F24" s="121" t="inlineStr">
        <is>
          <t>Q2 2026 results (Jul/Aug 2026); order book update</t>
        </is>
      </c>
    </row>
    <row r="25" ht="64" customHeight="1">
      <c r="B25" s="129" t="inlineStr">
        <is>
          <t>High-NA Production Ramp</t>
        </is>
      </c>
      <c r="C25" s="20" t="inlineStr">
        <is>
          <t>First EXE:5200 units moving from R&amp;D to production tool status at Intel (14A node) and TSMC evaluation. Each unit = ~€380M revenue.</t>
        </is>
      </c>
      <c r="D25" s="137" t="inlineStr">
        <is>
          <t>2026–2027</t>
        </is>
      </c>
      <c r="E25" s="128" t="inlineStr">
        <is>
          <t>VERY HIGH</t>
        </is>
      </c>
      <c r="F25" s="123" t="inlineStr">
        <is>
          <t>ASML quarterly EXE shipment count; Intel 14A qualification milestones; TSMC N1.4 timeline</t>
        </is>
      </c>
    </row>
    <row r="26" ht="64" customHeight="1">
      <c r="B26" s="127" t="inlineStr">
        <is>
          <t>TSMC Arizona / Europe Fab Demand</t>
        </is>
      </c>
      <c r="C26" s="17" t="inlineStr">
        <is>
          <t>TSMC Arizona Fab 21 (N2P) and Dresden (N2) need EUV tools. US CHIPS Act greenfield fabs (Intel Ohio, Samsung Texas) require lithography.</t>
        </is>
      </c>
      <c r="D26" s="138" t="inlineStr">
        <is>
          <t>2025–2028</t>
        </is>
      </c>
      <c r="E26" s="130" t="inlineStr">
        <is>
          <t>HIGH</t>
        </is>
      </c>
      <c r="F26" s="121" t="inlineStr">
        <is>
          <t>Fab opening milestones; CHIPS Act fund disbursements; customer EUV orders</t>
        </is>
      </c>
    </row>
    <row r="27" ht="64" customHeight="1">
      <c r="B27" s="129" t="inlineStr">
        <is>
          <t>Memory HBM Intensity Increase</t>
        </is>
      </c>
      <c r="C27" s="20" t="inlineStr">
        <is>
          <t>HBM3E and HBM4 require EUV at multiple layers. SK Hynix, Micron, Samsung all expanding HBM capacity for AI servers. Memory = 34% of 2025 ASML system sales (up from 30%).</t>
        </is>
      </c>
      <c r="D27" s="137" t="inlineStr">
        <is>
          <t>2026–2028</t>
        </is>
      </c>
      <c r="E27" s="130" t="inlineStr">
        <is>
          <t>MEDIUM-HIGH</t>
        </is>
      </c>
      <c r="F27" s="123" t="inlineStr">
        <is>
          <t>HBM market share data (SK Hynix, Micron); quarterly memory orders to ASML; DDR5/HBM TAM updates</t>
        </is>
      </c>
    </row>
    <row r="28" ht="64" customHeight="1">
      <c r="B28" s="127" t="inlineStr">
        <is>
          <t>2026 Investor Day / Guidance Raise</t>
        </is>
      </c>
      <c r="C28" s="17" t="inlineStr">
        <is>
          <t>ASML typically holds an Investor Day every 2-3 years. Next potential event in H2 2026 or 2027 could raise 2030 targets above €60bn (Morningstar bull case scenario).</t>
        </is>
      </c>
      <c r="D28" s="137" t="inlineStr">
        <is>
          <t>H2 2026 / 2027E</t>
        </is>
      </c>
      <c r="E28" s="130" t="inlineStr">
        <is>
          <t>HIGH</t>
        </is>
      </c>
      <c r="F28" s="121" t="inlineStr">
        <is>
          <t>Investor Day announcement; management commentary on long-term opportunity in earnings calls</t>
        </is>
      </c>
    </row>
    <row r="29" ht="64" customHeight="1">
      <c r="B29" s="132" t="inlineStr">
        <is>
          <t>China Policy Stabilization</t>
        </is>
      </c>
      <c r="C29" s="133" t="inlineStr">
        <is>
          <t>If US-China trade tensions ease or MATCH Act fails to pass, China DUV demand could stabilize above 20%, providing upside vs. base case assumptions.</t>
        </is>
      </c>
      <c r="D29" s="139" t="inlineStr">
        <is>
          <t>Uncertain (2026–2027)</t>
        </is>
      </c>
      <c r="E29" s="139" t="inlineStr">
        <is>
          <t>MEDIUM</t>
        </is>
      </c>
      <c r="F29" s="136" t="inlineStr">
        <is>
          <t>MATCH Act legislative progress; US-China trade negotiations; ASML China order trends</t>
        </is>
      </c>
    </row>
    <row r="30" ht="8" customHeight="1"/>
    <row r="31" ht="16" customHeight="1">
      <c r="B31" s="4" t="inlineStr">
        <is>
          <t>KPI MONITORING DASHBOARD — Update Each Quarter</t>
        </is>
      </c>
    </row>
    <row r="32" ht="18" customHeight="1">
      <c r="B32" s="59" t="inlineStr">
        <is>
          <t>KPI</t>
        </is>
      </c>
      <c r="C32" s="59" t="inlineStr">
        <is>
          <t>Description</t>
        </is>
      </c>
      <c r="D32" s="59" t="inlineStr">
        <is>
          <t>FY2025A Baseline</t>
        </is>
      </c>
      <c r="E32" s="59" t="inlineStr">
        <is>
          <t>FY2026E Target</t>
        </is>
      </c>
      <c r="F32" s="59" t="inlineStr">
        <is>
          <t>Signal</t>
        </is>
      </c>
    </row>
    <row r="33" ht="28" customHeight="1">
      <c r="B33" s="140" t="inlineStr">
        <is>
          <t>EUV Units Shipped / Yr</t>
        </is>
      </c>
      <c r="C33" s="17" t="inlineStr">
        <is>
          <t>Number of Low-NA EUV systems delivered</t>
        </is>
      </c>
      <c r="D33" s="7" t="inlineStr">
        <is>
          <t>48 units</t>
        </is>
      </c>
      <c r="E33" s="141" t="inlineStr">
        <is>
          <t>&gt;52 units</t>
        </is>
      </c>
      <c r="F33" s="121" t="inlineStr">
        <is>
          <t>If &lt;45: demand concern; if &gt;55: bullish</t>
        </is>
      </c>
    </row>
    <row r="34" ht="28" customHeight="1">
      <c r="B34" s="142" t="inlineStr">
        <is>
          <t>High-NA Units Shipped</t>
        </is>
      </c>
      <c r="C34" s="20" t="inlineStr">
        <is>
          <t>EXE:5000/5200 deliveries per year</t>
        </is>
      </c>
      <c r="D34" s="10" t="inlineStr">
        <is>
          <t>3 (R&amp;D)</t>
        </is>
      </c>
      <c r="E34" s="143" t="inlineStr">
        <is>
          <t>&gt;6 production units</t>
        </is>
      </c>
      <c r="F34" s="123" t="inlineStr">
        <is>
          <t>Key upcycle metric; each = €380M</t>
        </is>
      </c>
    </row>
    <row r="35" ht="28" customHeight="1">
      <c r="B35" s="140" t="inlineStr">
        <is>
          <t>Order Book / Backlog (€bn)</t>
        </is>
      </c>
      <c r="C35" s="17" t="inlineStr">
        <is>
          <t>Total confirmed backlog value at quarter-end</t>
        </is>
      </c>
      <c r="D35" s="7" t="inlineStr">
        <is>
          <t>€38.8bn</t>
        </is>
      </c>
      <c r="E35" s="141" t="inlineStr">
        <is>
          <t>&gt;€40bn</t>
        </is>
      </c>
      <c r="F35" s="121" t="inlineStr">
        <is>
          <t>If &lt;€35bn: 12-18mo demand warning</t>
        </is>
      </c>
    </row>
    <row r="36" ht="28" customHeight="1">
      <c r="B36" s="142" t="inlineStr">
        <is>
          <t>Gross Margin (%)</t>
        </is>
      </c>
      <c r="C36" s="20" t="inlineStr">
        <is>
          <t>GAAP gross margin on net sales</t>
        </is>
      </c>
      <c r="D36" s="10" t="inlineStr">
        <is>
          <t>52.8%</t>
        </is>
      </c>
      <c r="E36" s="143" t="inlineStr">
        <is>
          <t>51–53%</t>
        </is>
      </c>
      <c r="F36" s="123" t="inlineStr">
        <is>
          <t>If &lt;50%: mix shift or pricing concern</t>
        </is>
      </c>
    </row>
    <row r="37" ht="28" customHeight="1">
      <c r="B37" s="140" t="inlineStr">
        <is>
          <t>Service Revenue (€bn)</t>
        </is>
      </c>
      <c r="C37" s="17" t="inlineStr">
        <is>
          <t>Annual services &amp; field options sales</t>
        </is>
      </c>
      <c r="D37" s="7" t="inlineStr">
        <is>
          <t>€8.2bn</t>
        </is>
      </c>
      <c r="E37" s="141" t="inlineStr">
        <is>
          <t>&gt;€9.7bn</t>
        </is>
      </c>
      <c r="F37" s="121" t="inlineStr">
        <is>
          <t>Compound at ~18%/yr; high-margin annuity</t>
        </is>
      </c>
    </row>
    <row r="38" ht="28" customHeight="1">
      <c r="B38" s="142" t="inlineStr">
        <is>
          <t>China % of System Sales</t>
        </is>
      </c>
      <c r="C38" s="20" t="inlineStr">
        <is>
          <t>China revenue as % of total net system sales</t>
        </is>
      </c>
      <c r="D38" s="10" t="inlineStr">
        <is>
          <t>33% (2025 full yr)</t>
        </is>
      </c>
      <c r="E38" s="143" t="inlineStr">
        <is>
          <t>~20%</t>
        </is>
      </c>
      <c r="F38" s="123" t="inlineStr">
        <is>
          <t>If &lt;15%: restriction escalation; if &gt;25%: DUV demand surprise</t>
        </is>
      </c>
    </row>
    <row r="39" ht="28" customHeight="1">
      <c r="B39" s="140" t="inlineStr">
        <is>
          <t>R&amp;D Spending (% of Rev)</t>
        </is>
      </c>
      <c r="C39" s="17" t="inlineStr">
        <is>
          <t>Research &amp; development as % of net sales</t>
        </is>
      </c>
      <c r="D39" s="7" t="inlineStr">
        <is>
          <t>14.4%</t>
        </is>
      </c>
      <c r="E39" s="141" t="inlineStr">
        <is>
          <t>~14%</t>
        </is>
      </c>
      <c r="F39" s="121" t="inlineStr">
        <is>
          <t>Needs to remain &gt;12% to sustain EUV/High-NA roadmap</t>
        </is>
      </c>
    </row>
    <row r="40" ht="28" customHeight="1">
      <c r="B40" s="142" t="inlineStr">
        <is>
          <t>EBIT Margin (%)</t>
        </is>
      </c>
      <c r="C40" s="20" t="inlineStr">
        <is>
          <t>Operating income / net sales</t>
        </is>
      </c>
      <c r="D40" s="10" t="inlineStr">
        <is>
          <t>34.5%</t>
        </is>
      </c>
      <c r="E40" s="143" t="inlineStr">
        <is>
          <t>34–36%</t>
        </is>
      </c>
      <c r="F40" s="123" t="inlineStr">
        <is>
          <t>Expansion trajectory supports earnings leverage</t>
        </is>
      </c>
    </row>
    <row r="41" ht="28" customHeight="1">
      <c r="B41" s="140" t="inlineStr">
        <is>
          <t>FCF Conversion (%)</t>
        </is>
      </c>
      <c r="C41" s="17" t="inlineStr">
        <is>
          <t>FCF / Net Income</t>
        </is>
      </c>
      <c r="D41" s="7" t="inlineStr">
        <is>
          <t>~120%</t>
        </is>
      </c>
      <c r="E41" s="141" t="inlineStr">
        <is>
          <t>&gt;100%</t>
        </is>
      </c>
      <c r="F41" s="121" t="inlineStr">
        <is>
          <t>Strong conversion validates earnings quality</t>
        </is>
      </c>
    </row>
    <row r="42" ht="28" customHeight="1">
      <c r="B42" s="142" t="inlineStr">
        <is>
          <t>Net Bookings (€bn, qtrly)</t>
        </is>
      </c>
      <c r="C42" s="20" t="inlineStr">
        <is>
          <t>New orders received in the quarter</t>
        </is>
      </c>
      <c r="D42" s="10" t="inlineStr">
        <is>
          <t>€13.2bn in Q4 2025</t>
        </is>
      </c>
      <c r="E42" s="143" t="inlineStr">
        <is>
          <t>&gt;€8bn/qtr avg.</t>
        </is>
      </c>
      <c r="F42" s="123" t="inlineStr">
        <is>
          <t>Leading indicator; book-to-bill &gt;1.0x is positive</t>
        </is>
      </c>
    </row>
    <row r="43" ht="28" customHeight="1">
      <c r="B43" s="140" t="inlineStr">
        <is>
          <t>EPS Growth (Adj.)</t>
        </is>
      </c>
      <c r="C43" s="17" t="inlineStr">
        <is>
          <t>YoY adj. EPS growth</t>
        </is>
      </c>
      <c r="D43" s="7" t="inlineStr">
        <is>
          <t>€26.26 (+24% YoY)</t>
        </is>
      </c>
      <c r="E43" s="141" t="inlineStr">
        <is>
          <t>&gt;18% YoY in FY2026</t>
        </is>
      </c>
      <c r="F43" s="121" t="inlineStr">
        <is>
          <t>Key for valuation support at 50x P/E</t>
        </is>
      </c>
    </row>
    <row r="44" ht="28" customHeight="1">
      <c r="B44" s="144" t="inlineStr">
        <is>
          <t>Dividend &amp; Buyback (€bn)</t>
        </is>
      </c>
      <c r="C44" s="133" t="inlineStr">
        <is>
          <t>Total capital returned to shareholders</t>
        </is>
      </c>
      <c r="D44" s="13" t="inlineStr">
        <is>
          <t>€8.5bn in 2025</t>
        </is>
      </c>
      <c r="E44" s="145" t="inlineStr">
        <is>
          <t>&gt;€9bn</t>
        </is>
      </c>
      <c r="F44" s="136" t="inlineStr">
        <is>
          <t>Shareholder return commitment; new €12bn buyback announced Jan 2026</t>
        </is>
      </c>
    </row>
    <row r="46">
      <c r="B46" s="35" t="inlineStr">
        <is>
          <t>Sources: ASML Q4 2025 Earnings, Q1 2026 Results, Annual Report 2025, Investor Day Nov 2024. All € millions unless stated.</t>
        </is>
      </c>
    </row>
  </sheetData>
  <mergeCells count="6">
    <mergeCell ref="B2:F2"/>
    <mergeCell ref="B3:F3"/>
    <mergeCell ref="B5:F5"/>
    <mergeCell ref="B31:F31"/>
    <mergeCell ref="B22:F22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7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6" customHeight="1"/>
    <row r="2">
      <c r="B2" s="1" t="inlineStr">
        <is>
          <t>ASML HOLDING N.V. — DCF MODEL ASSUMPTIONS REGISTER</t>
        </is>
      </c>
    </row>
    <row r="3">
      <c r="B3" s="36" t="inlineStr">
        <is>
          <t>Complete list of hardcoded inputs and assumptions required to build / update the DCF model | Blue = Input | Update each period</t>
        </is>
      </c>
    </row>
    <row r="6" ht="16" customHeight="1">
      <c r="B6" s="4" t="inlineStr">
        <is>
          <t>DISCOUNT RATE ASSUMPTIONS</t>
        </is>
      </c>
    </row>
    <row r="7" ht="18" customHeight="1">
      <c r="B7" s="59" t="inlineStr">
        <is>
          <t>Assumption</t>
        </is>
      </c>
      <c r="C7" s="59" t="inlineStr">
        <is>
          <t>Value (Base Case)</t>
        </is>
      </c>
      <c r="D7" s="59" t="inlineStr">
        <is>
          <t>Source</t>
        </is>
      </c>
      <c r="E7" s="59" t="inlineStr">
        <is>
          <t>Notes / Range</t>
        </is>
      </c>
      <c r="F7" s="59" t="n"/>
    </row>
    <row r="8" ht="28" customHeight="1">
      <c r="B8" s="6" t="inlineStr">
        <is>
          <t>Risk-Free Rate</t>
        </is>
      </c>
      <c r="C8" s="146" t="inlineStr">
        <is>
          <t>2.85%</t>
        </is>
      </c>
      <c r="D8" s="73" t="inlineStr">
        <is>
          <t>German 10Y Bund, May 2026</t>
        </is>
      </c>
      <c r="E8" s="147" t="inlineStr">
        <is>
          <t>Range: 2.6–3.1% per valueinvesting.io. Update with current rate.</t>
        </is>
      </c>
    </row>
    <row r="9" ht="28" customHeight="1">
      <c r="B9" s="9" t="inlineStr">
        <is>
          <t>Equity Risk Premium (ERP)</t>
        </is>
      </c>
      <c r="C9" s="146" t="inlineStr">
        <is>
          <t>5.60%</t>
        </is>
      </c>
      <c r="D9" s="74" t="inlineStr">
        <is>
          <t>Damodaran Netherlands ERP</t>
        </is>
      </c>
      <c r="E9" s="148" t="inlineStr">
        <is>
          <t>Damodaran.com updated annually. Range: 4.18–6.10%.</t>
        </is>
      </c>
    </row>
    <row r="10" ht="28" customHeight="1">
      <c r="B10" s="6" t="inlineStr">
        <is>
          <t>Beta (Adjusted)</t>
        </is>
      </c>
      <c r="C10" s="146" t="inlineStr">
        <is>
          <t>0.80</t>
        </is>
      </c>
      <c r="D10" s="73" t="inlineStr">
        <is>
          <t>Analyst mid-estimate</t>
        </is>
      </c>
      <c r="E10" s="147" t="inlineStr">
        <is>
          <t>Range: 0.48 (valueinvesting.io) to 1.23 (alphaspread). ASML is cyclical but moat-protected.</t>
        </is>
      </c>
    </row>
    <row r="11" ht="28" customHeight="1">
      <c r="B11" s="9" t="inlineStr">
        <is>
          <t>Size / Liquidity Premium</t>
        </is>
      </c>
      <c r="C11" s="146" t="inlineStr">
        <is>
          <t>0.25%</t>
        </is>
      </c>
      <c r="D11" s="74" t="inlineStr">
        <is>
          <t>Nominal premium</t>
        </is>
      </c>
      <c r="E11" s="148" t="inlineStr">
        <is>
          <t>Mega-cap; minimal liquidity concern. Adjust to 0% if removing risk adjustment.</t>
        </is>
      </c>
    </row>
    <row r="12" ht="28" customHeight="1">
      <c r="B12" s="6" t="inlineStr">
        <is>
          <t>Cost of Equity (CAPM)</t>
        </is>
      </c>
      <c r="C12" s="146" t="inlineStr">
        <is>
          <t>7.58%</t>
        </is>
      </c>
      <c r="D12" s="73" t="inlineStr">
        <is>
          <t>Rf + Beta*ERP + Size</t>
        </is>
      </c>
      <c r="E12" s="147" t="inlineStr">
        <is>
          <t>Derived: 2.85% + 0.80*5.60% + 0.25% = 7.58%.</t>
        </is>
      </c>
    </row>
    <row r="13" ht="28" customHeight="1">
      <c r="B13" s="9" t="inlineStr">
        <is>
          <t>Cost of Debt (pre-tax)</t>
        </is>
      </c>
      <c r="C13" s="146" t="inlineStr">
        <is>
          <t>3.50%</t>
        </is>
      </c>
      <c r="D13" s="74" t="inlineStr">
        <is>
          <t>Estimated market rate</t>
        </is>
      </c>
      <c r="E13" s="148" t="inlineStr">
        <is>
          <t>ASML nearly debt-free. Use 3.5% as placeholder for any debt financing.</t>
        </is>
      </c>
    </row>
    <row r="14" ht="28" customHeight="1">
      <c r="B14" s="6" t="inlineStr">
        <is>
          <t>Tax Rate (for WACC)</t>
        </is>
      </c>
      <c r="C14" s="146" t="inlineStr">
        <is>
          <t>16.0%</t>
        </is>
      </c>
      <c r="D14" s="73" t="inlineStr">
        <is>
          <t>ASML mgmt guidance 2026</t>
        </is>
      </c>
      <c r="E14" s="147" t="inlineStr">
        <is>
          <t>ASML guided ~17% US GAAP; analyst uses 16% effective rate.</t>
        </is>
      </c>
    </row>
    <row r="15" ht="28" customHeight="1">
      <c r="B15" s="9" t="inlineStr">
        <is>
          <t>Debt / (Debt + Equity) weight</t>
        </is>
      </c>
      <c r="C15" s="146" t="inlineStr">
        <is>
          <t>0.6%</t>
        </is>
      </c>
      <c r="D15" s="74" t="inlineStr">
        <is>
          <t>Market value basis</t>
        </is>
      </c>
      <c r="E15" s="148" t="inlineStr">
        <is>
          <t>ASML ~net cash. Nearly all equity-financed. Update if debt changes.</t>
        </is>
      </c>
    </row>
    <row r="16" ht="28" customHeight="1">
      <c r="B16" s="33" t="inlineStr">
        <is>
          <t>WACC (derived)</t>
        </is>
      </c>
      <c r="C16" s="149" t="inlineStr">
        <is>
          <t>7.57%</t>
        </is>
      </c>
      <c r="D16" s="76" t="inlineStr">
        <is>
          <t>Derived from above</t>
        </is>
      </c>
      <c r="E16" s="150">
        <f> 7.58% * 99.4% + 3.50%*(1-16%)*0.6% = 7.57%. Central assumption.</f>
        <v/>
      </c>
      <c r="F16" s="24" t="n"/>
    </row>
    <row r="17" ht="16" customHeight="1">
      <c r="B17" s="4" t="inlineStr">
        <is>
          <t>REVENUE ASSUMPTIONS (BASE CASE)</t>
        </is>
      </c>
    </row>
    <row r="18" ht="18" customHeight="1">
      <c r="B18" s="59" t="inlineStr">
        <is>
          <t>Assumption</t>
        </is>
      </c>
      <c r="C18" s="59" t="inlineStr">
        <is>
          <t>Value (Base Case)</t>
        </is>
      </c>
      <c r="D18" s="59" t="inlineStr">
        <is>
          <t>Source</t>
        </is>
      </c>
      <c r="E18" s="59" t="inlineStr">
        <is>
          <t>Notes / Range</t>
        </is>
      </c>
      <c r="F18" s="59" t="n"/>
    </row>
    <row r="19" ht="28" customHeight="1">
      <c r="B19" s="6" t="inlineStr">
        <is>
          <t>FY2025A Total Net Sales (€M)</t>
        </is>
      </c>
      <c r="C19" s="146" t="inlineStr">
        <is>
          <t>32,667</t>
        </is>
      </c>
      <c r="D19" s="73" t="inlineStr">
        <is>
          <t>ASML Annual Report 2025</t>
        </is>
      </c>
      <c r="E19" s="147" t="inlineStr">
        <is>
          <t>Confirmed actuals. 15.6% YoY growth.</t>
        </is>
      </c>
    </row>
    <row r="20" ht="28" customHeight="1">
      <c r="B20" s="9" t="inlineStr">
        <is>
          <t>FY2026E Total Net Sales (€M)</t>
        </is>
      </c>
      <c r="C20" s="146" t="inlineStr">
        <is>
          <t>38,000</t>
        </is>
      </c>
      <c r="D20" s="74" t="inlineStr">
        <is>
          <t>ASML guidance mid (€36–40bn)</t>
        </is>
      </c>
      <c r="E20" s="148" t="inlineStr">
        <is>
          <t>Use midpoint €38bn; mgmt raised to €36–40bn post Q1 2026.</t>
        </is>
      </c>
    </row>
    <row r="21" ht="28" customHeight="1">
      <c r="B21" s="6" t="inlineStr">
        <is>
          <t>FY2027E Revenue Growth</t>
        </is>
      </c>
      <c r="C21" s="146" t="inlineStr">
        <is>
          <t>15.8%</t>
        </is>
      </c>
      <c r="D21" s="73" t="inlineStr">
        <is>
          <t>High-NA ramp + services growth</t>
        </is>
      </c>
      <c r="E21" s="147" t="inlineStr">
        <is>
          <t>Analyst estimate. EXE:5200 volume, TSMC N1.4, HBM ramp.</t>
        </is>
      </c>
    </row>
    <row r="22" ht="28" customHeight="1">
      <c r="B22" s="9" t="inlineStr">
        <is>
          <t>FY2028E Revenue Growth</t>
        </is>
      </c>
      <c r="C22" s="146" t="inlineStr">
        <is>
          <t>13.6%</t>
        </is>
      </c>
      <c r="D22" s="74" t="inlineStr">
        <is>
          <t>Continued EUV intensity</t>
        </is>
      </c>
      <c r="E22" s="148" t="inlineStr">
        <is>
          <t>Analyst estimate. Logic + Memory convergence on EUV layers.</t>
        </is>
      </c>
    </row>
    <row r="23" ht="28" customHeight="1">
      <c r="B23" s="6" t="inlineStr">
        <is>
          <t>FY2029E Revenue Growth</t>
        </is>
      </c>
      <c r="C23" s="146" t="inlineStr">
        <is>
          <t>10.0%</t>
        </is>
      </c>
      <c r="D23" s="73" t="inlineStr">
        <is>
          <t>Normalization + services</t>
        </is>
      </c>
      <c r="E23" s="147" t="inlineStr">
        <is>
          <t>Analyst estimate. Growth moderates as installed base matures.</t>
        </is>
      </c>
    </row>
    <row r="24" ht="28" customHeight="1">
      <c r="B24" s="9" t="inlineStr">
        <is>
          <t>FY2030E Revenue Growth</t>
        </is>
      </c>
      <c r="C24" s="146" t="inlineStr">
        <is>
          <t>9.1%</t>
        </is>
      </c>
      <c r="D24" s="74" t="inlineStr">
        <is>
          <t>CAGR to €60bn target</t>
        </is>
      </c>
      <c r="E24" s="148" t="inlineStr">
        <is>
          <t>Implies ~€60bn by 2030, consistent with mgmt high-end scenario.</t>
        </is>
      </c>
    </row>
    <row r="25" ht="28" customHeight="1">
      <c r="B25" s="6" t="inlineStr">
        <is>
          <t>EUV Systems Revenue FY2025A (€M)</t>
        </is>
      </c>
      <c r="C25" s="146" t="inlineStr">
        <is>
          <t>11,600</t>
        </is>
      </c>
      <c r="D25" s="73" t="inlineStr">
        <is>
          <t>ASML Q4 2025 Presentation</t>
        </is>
      </c>
      <c r="E25" s="147" t="inlineStr">
        <is>
          <t>+39% YoY. 48 systems * avg ~€242M ASP.</t>
        </is>
      </c>
    </row>
    <row r="26" ht="28" customHeight="1">
      <c r="B26" s="9" t="inlineStr">
        <is>
          <t>DUV Systems Revenue FY2025A (€M)</t>
        </is>
      </c>
      <c r="C26" s="146" t="inlineStr">
        <is>
          <t>12,000</t>
        </is>
      </c>
      <c r="D26" s="74" t="inlineStr">
        <is>
          <t>ASML Q4 2025 Presentation</t>
        </is>
      </c>
      <c r="E26" s="148" t="inlineStr">
        <is>
          <t>-6% YoY. China DUV normalization.</t>
        </is>
      </c>
    </row>
    <row r="27" ht="28" customHeight="1">
      <c r="B27" s="6" t="inlineStr">
        <is>
          <t>Services Revenue FY2025A (€M)</t>
        </is>
      </c>
      <c r="C27" s="146" t="inlineStr">
        <is>
          <t>8,200</t>
        </is>
      </c>
      <c r="D27" s="73" t="inlineStr">
        <is>
          <t>ASML Annual Report 2025</t>
        </is>
      </c>
      <c r="E27" s="147" t="inlineStr">
        <is>
          <t>+26% YoY. Growing installed base.</t>
        </is>
      </c>
    </row>
    <row r="28" ht="28" customHeight="1">
      <c r="B28" s="9" t="inlineStr">
        <is>
          <t>EUV Revenue Growth FY2026E</t>
        </is>
      </c>
      <c r="C28" s="146" t="inlineStr">
        <is>
          <t>28.0%</t>
        </is>
      </c>
      <c r="D28" s="74" t="inlineStr">
        <is>
          <t>Analyst estimate</t>
        </is>
      </c>
      <c r="E28" s="148" t="inlineStr">
        <is>
          <t>High-NA ramp + TSMC N2 + SK Hynix HBM4 = strong EUV year.</t>
        </is>
      </c>
    </row>
    <row r="29" ht="28" customHeight="1">
      <c r="B29" s="6" t="inlineStr">
        <is>
          <t>DUV Revenue Growth FY2026E</t>
        </is>
      </c>
      <c r="C29" s="146" t="inlineStr">
        <is>
          <t>-5.0%</t>
        </is>
      </c>
      <c r="D29" s="73" t="inlineStr">
        <is>
          <t>ASML guidance: China normalization</t>
        </is>
      </c>
      <c r="E29" s="147" t="inlineStr">
        <is>
          <t>China from 36% to 20% of system sales; partial non-China offset.</t>
        </is>
      </c>
    </row>
    <row r="30" ht="28" customHeight="1">
      <c r="B30" s="12" t="inlineStr">
        <is>
          <t>Services Revenue Growth FY2026E</t>
        </is>
      </c>
      <c r="C30" s="149" t="inlineStr">
        <is>
          <t>18.0%</t>
        </is>
      </c>
      <c r="D30" s="151" t="inlineStr">
        <is>
          <t>Analyst estimate</t>
        </is>
      </c>
      <c r="E30" s="152" t="inlineStr">
        <is>
          <t>Continued installed base + NXE:3800E field upgrades.</t>
        </is>
      </c>
      <c r="F30" s="24" t="n"/>
    </row>
    <row r="31" ht="16" customHeight="1">
      <c r="B31" s="4" t="inlineStr">
        <is>
          <t>MARGIN ASSUMPTIONS (BASE CASE)</t>
        </is>
      </c>
    </row>
    <row r="32" ht="18" customHeight="1">
      <c r="B32" s="59" t="inlineStr">
        <is>
          <t>Assumption</t>
        </is>
      </c>
      <c r="C32" s="59" t="inlineStr">
        <is>
          <t>Value (Base Case)</t>
        </is>
      </c>
      <c r="D32" s="59" t="inlineStr">
        <is>
          <t>Source</t>
        </is>
      </c>
      <c r="E32" s="59" t="inlineStr">
        <is>
          <t>Notes / Range</t>
        </is>
      </c>
      <c r="F32" s="59" t="n"/>
    </row>
    <row r="33" ht="28" customHeight="1">
      <c r="B33" s="6" t="inlineStr">
        <is>
          <t>FY2025A Gross Margin</t>
        </is>
      </c>
      <c r="C33" s="146" t="inlineStr">
        <is>
          <t>52.8%</t>
        </is>
      </c>
      <c r="D33" s="73" t="inlineStr">
        <is>
          <t>ASML Annual Report 2025</t>
        </is>
      </c>
      <c r="E33" s="147" t="inlineStr">
        <is>
          <t>Confirmed. Includes favorable EUV mix shift.</t>
        </is>
      </c>
    </row>
    <row r="34" ht="28" customHeight="1">
      <c r="B34" s="9" t="inlineStr">
        <is>
          <t>FY2026E Gross Margin</t>
        </is>
      </c>
      <c r="C34" s="146" t="inlineStr">
        <is>
          <t>51.5%</t>
        </is>
      </c>
      <c r="D34" s="74" t="inlineStr">
        <is>
          <t>Analyst estimate (mgmt: 51–53%)</t>
        </is>
      </c>
      <c r="E34" s="148" t="inlineStr">
        <is>
          <t>H2-weighted: more High-NA tools (lower initial margins) + China mix change.</t>
        </is>
      </c>
    </row>
    <row r="35" ht="28" customHeight="1">
      <c r="B35" s="6" t="inlineStr">
        <is>
          <t>FY2027E Gross Margin</t>
        </is>
      </c>
      <c r="C35" s="146" t="inlineStr">
        <is>
          <t>52.0%</t>
        </is>
      </c>
      <c r="D35" s="73" t="inlineStr">
        <is>
          <t>Analyst estimate</t>
        </is>
      </c>
      <c r="E35" s="147" t="inlineStr">
        <is>
          <t>High-NA tools margin ramp as production matures.</t>
        </is>
      </c>
    </row>
    <row r="36" ht="28" customHeight="1">
      <c r="B36" s="9" t="inlineStr">
        <is>
          <t>FY2028–2030E Gross Margin</t>
        </is>
      </c>
      <c r="C36" s="146" t="inlineStr">
        <is>
          <t>52–54%</t>
        </is>
      </c>
      <c r="D36" s="74" t="inlineStr">
        <is>
          <t>Analyst est. / mgmt target 56-60%</t>
        </is>
      </c>
      <c r="E36" s="148" t="inlineStr">
        <is>
          <t>Conservative vs. mgmt 2030 target of 56–60%; reflects ramp conservatism.</t>
        </is>
      </c>
    </row>
    <row r="37" ht="28" customHeight="1">
      <c r="B37" s="6" t="inlineStr">
        <is>
          <t>FY2026E EBIT Margin</t>
        </is>
      </c>
      <c r="C37" s="146" t="inlineStr">
        <is>
          <t>34.5%</t>
        </is>
      </c>
      <c r="D37" s="73" t="inlineStr">
        <is>
          <t>Analyst estimate</t>
        </is>
      </c>
      <c r="E37" s="147" t="inlineStr">
        <is>
          <t>Operating leverage; R&amp;D stays at ~14% of revenue.</t>
        </is>
      </c>
    </row>
    <row r="38" ht="28" customHeight="1">
      <c r="B38" s="9" t="inlineStr">
        <is>
          <t>FY2026E EBITDA Margin</t>
        </is>
      </c>
      <c r="C38" s="146" t="inlineStr">
        <is>
          <t>44.0%</t>
        </is>
      </c>
      <c r="D38" s="74" t="inlineStr">
        <is>
          <t>Analyst estimate</t>
        </is>
      </c>
      <c r="E38" s="148" t="inlineStr">
        <is>
          <t>D&amp;A €1,590M + EBIT €13,110M = EBITDA €16,700M. Margin improvement from scale.</t>
        </is>
      </c>
    </row>
    <row r="39" ht="28" customHeight="1">
      <c r="B39" s="6" t="inlineStr">
        <is>
          <t>FY2030E EBITDA Margin</t>
        </is>
      </c>
      <c r="C39" s="146" t="inlineStr">
        <is>
          <t>47.0%</t>
        </is>
      </c>
      <c r="D39" s="73" t="inlineStr">
        <is>
          <t>Analyst base case (mgmt: 56–60%)</t>
        </is>
      </c>
      <c r="E39" s="147" t="inlineStr">
        <is>
          <t>Conservative estimate vs mgmt 2030 target. Use sensitivity to test.</t>
        </is>
      </c>
    </row>
    <row r="40" ht="28" customHeight="1">
      <c r="B40" s="9" t="inlineStr">
        <is>
          <t>R&amp;D as % of Revenue</t>
        </is>
      </c>
      <c r="C40" s="146" t="inlineStr">
        <is>
          <t>14.0%</t>
        </is>
      </c>
      <c r="D40" s="74" t="inlineStr">
        <is>
          <t>Historical trend</t>
        </is>
      </c>
      <c r="E40" s="148" t="inlineStr">
        <is>
          <t>FY2025: 14.4%. ASML committed to sustaining heavy R&amp;D. Model at 14%.</t>
        </is>
      </c>
    </row>
    <row r="41" ht="28" customHeight="1">
      <c r="B41" s="6" t="inlineStr">
        <is>
          <t>SG&amp;A as % of Revenue</t>
        </is>
      </c>
      <c r="C41" s="146" t="inlineStr">
        <is>
          <t>3.0%</t>
        </is>
      </c>
      <c r="D41" s="73" t="inlineStr">
        <is>
          <t>Historical trend</t>
        </is>
      </c>
      <c r="E41" s="147" t="inlineStr">
        <is>
          <t>FY2025: 2.97%. Stable; scale benefits limit growth.</t>
        </is>
      </c>
    </row>
    <row r="42" ht="28" customHeight="1">
      <c r="B42" s="12" t="inlineStr">
        <is>
          <t>Effective Tax Rate</t>
        </is>
      </c>
      <c r="C42" s="149" t="inlineStr">
        <is>
          <t>16.0%</t>
        </is>
      </c>
      <c r="D42" s="151" t="inlineStr">
        <is>
          <t>ASML mgmt guidance</t>
        </is>
      </c>
      <c r="E42" s="152" t="inlineStr">
        <is>
          <t>FY2026 guidance: ~17% US GAAP annualized. Analyst uses 16% effective.</t>
        </is>
      </c>
      <c r="F42" s="24" t="n"/>
    </row>
    <row r="43" ht="16" customHeight="1">
      <c r="B43" s="4" t="inlineStr">
        <is>
          <t>CAPITAL STRUCTURE ASSUMPTIONS</t>
        </is>
      </c>
    </row>
    <row r="44" ht="18" customHeight="1">
      <c r="B44" s="59" t="inlineStr">
        <is>
          <t>Assumption</t>
        </is>
      </c>
      <c r="C44" s="59" t="inlineStr">
        <is>
          <t>Value (Base Case)</t>
        </is>
      </c>
      <c r="D44" s="59" t="inlineStr">
        <is>
          <t>Source</t>
        </is>
      </c>
      <c r="E44" s="59" t="inlineStr">
        <is>
          <t>Notes / Range</t>
        </is>
      </c>
      <c r="F44" s="59" t="n"/>
    </row>
    <row r="45" ht="28" customHeight="1">
      <c r="B45" s="6" t="inlineStr">
        <is>
          <t>CapEx as % of Revenue</t>
        </is>
      </c>
      <c r="C45" s="146" t="inlineStr">
        <is>
          <t>4.7%</t>
        </is>
      </c>
      <c r="D45" s="73" t="inlineStr">
        <is>
          <t>FY2025A: €1,574M / €32,667M</t>
        </is>
      </c>
      <c r="E45" s="147" t="inlineStr">
        <is>
          <t>Declining from 7.8% in FY2023 as fab investment peaks. Model at 4.7–5%.</t>
        </is>
      </c>
    </row>
    <row r="46" ht="28" customHeight="1">
      <c r="B46" s="9" t="inlineStr">
        <is>
          <t>FY2026E CapEx (€M)</t>
        </is>
      </c>
      <c r="C46" s="146" t="inlineStr">
        <is>
          <t>1,800</t>
        </is>
      </c>
      <c r="D46" s="74" t="inlineStr">
        <is>
          <t>Analyst estimate</t>
        </is>
      </c>
      <c r="E46" s="148" t="inlineStr">
        <is>
          <t>€1,800M base. ASML guiding modest CapEx; fab in NL complete.</t>
        </is>
      </c>
    </row>
    <row r="47" ht="28" customHeight="1">
      <c r="B47" s="6" t="inlineStr">
        <is>
          <t>D&amp;A as % of Revenue</t>
        </is>
      </c>
      <c r="C47" s="146" t="inlineStr">
        <is>
          <t>4.1%</t>
        </is>
      </c>
      <c r="D47" s="73" t="inlineStr">
        <is>
          <t>FY2025: €1,432M / €32,667M</t>
        </is>
      </c>
      <c r="E47" s="147" t="inlineStr">
        <is>
          <t>Rising with CapEx investment; model at 4.1–4.3% through 2030.</t>
        </is>
      </c>
    </row>
    <row r="48" ht="28" customHeight="1">
      <c r="B48" s="9" t="inlineStr">
        <is>
          <t>Working Capital Change (% Rev)</t>
        </is>
      </c>
      <c r="C48" s="146" t="inlineStr">
        <is>
          <t>2.0%</t>
        </is>
      </c>
      <c r="D48" s="74" t="inlineStr">
        <is>
          <t>Historical range 1–2.5%</t>
        </is>
      </c>
      <c r="E48" s="148" t="inlineStr">
        <is>
          <t>Working capital build as revenue grows; offset partially by payables.</t>
        </is>
      </c>
    </row>
    <row r="49" ht="28" customHeight="1">
      <c r="B49" s="6" t="inlineStr">
        <is>
          <t>Net Cash / (Debt) (€M)</t>
        </is>
      </c>
      <c r="C49" s="146" t="inlineStr">
        <is>
          <t>9,000</t>
        </is>
      </c>
      <c r="D49" s="73" t="inlineStr">
        <is>
          <t>Approx. net cash position FY2025</t>
        </is>
      </c>
      <c r="E49" s="147" t="inlineStr">
        <is>
          <t>ASML €20.8bn equity, minimal debt. Net cash approx €9bn.</t>
        </is>
      </c>
    </row>
    <row r="50" ht="28" customHeight="1">
      <c r="B50" s="9" t="inlineStr">
        <is>
          <t>Diluted Shares Outstanding (M)</t>
        </is>
      </c>
      <c r="C50" s="146" t="inlineStr">
        <is>
          <t>389</t>
        </is>
      </c>
      <c r="D50" s="74" t="inlineStr">
        <is>
          <t>FY2025A</t>
        </is>
      </c>
      <c r="E50" s="148" t="inlineStr">
        <is>
          <t>Declining ~1%/yr via buybacks. €12bn buyback program announced Jan 2026.</t>
        </is>
      </c>
    </row>
    <row r="51" ht="28" customHeight="1">
      <c r="B51" s="6" t="inlineStr">
        <is>
          <t>Share Buyback Rate</t>
        </is>
      </c>
      <c r="C51" s="146" t="inlineStr">
        <is>
          <t>~1.0% per year</t>
        </is>
      </c>
      <c r="D51" s="73" t="inlineStr">
        <is>
          <t>Historical and new buyback</t>
        </is>
      </c>
      <c r="E51" s="147" t="inlineStr">
        <is>
          <t>New €12bn buyback program through 2027. Reduces diluted share count.</t>
        </is>
      </c>
    </row>
    <row r="52" ht="28" customHeight="1">
      <c r="B52" s="12" t="inlineStr">
        <is>
          <t>Dividend Per Share FY2025 (€)</t>
        </is>
      </c>
      <c r="C52" s="149" t="inlineStr">
        <is>
          <t>8.50</t>
        </is>
      </c>
      <c r="D52" s="151" t="inlineStr">
        <is>
          <t>ASML filings / AGM approval</t>
        </is>
      </c>
      <c r="E52" s="152" t="inlineStr">
        <is>
          <t>Final dividend approved at AGM April 2026: €2.70 final + €1.60 interim.</t>
        </is>
      </c>
      <c r="F52" s="24" t="n"/>
    </row>
    <row r="53" ht="16" customHeight="1">
      <c r="B53" s="4" t="inlineStr">
        <is>
          <t>TERMINAL VALUE ASSUMPTIONS</t>
        </is>
      </c>
    </row>
    <row r="54" ht="18" customHeight="1">
      <c r="B54" s="59" t="inlineStr">
        <is>
          <t>Assumption</t>
        </is>
      </c>
      <c r="C54" s="59" t="inlineStr">
        <is>
          <t>Value (Base Case)</t>
        </is>
      </c>
      <c r="D54" s="59" t="inlineStr">
        <is>
          <t>Source</t>
        </is>
      </c>
      <c r="E54" s="59" t="inlineStr">
        <is>
          <t>Notes / Range</t>
        </is>
      </c>
      <c r="F54" s="59" t="n"/>
    </row>
    <row r="55" ht="28" customHeight="1">
      <c r="B55" s="6" t="inlineStr">
        <is>
          <t>Terminal Growth Rate (Base)</t>
        </is>
      </c>
      <c r="C55" s="146" t="inlineStr">
        <is>
          <t>3.0%</t>
        </is>
      </c>
      <c r="D55" s="73" t="inlineStr">
        <is>
          <t>Long-term semi industry CAGR</t>
        </is>
      </c>
      <c r="E55" s="147" t="inlineStr">
        <is>
          <t>Conservative: semi industry grows at GDP+; ASML at structural premium. Range: 2.0–4.5%.</t>
        </is>
      </c>
    </row>
    <row r="56" ht="28" customHeight="1">
      <c r="B56" s="9" t="inlineStr">
        <is>
          <t>Terminal UFCF (€M)</t>
        </is>
      </c>
      <c r="C56" s="146" t="inlineStr">
        <is>
          <t>17,088</t>
        </is>
      </c>
      <c r="D56" s="74" t="inlineStr">
        <is>
          <t>FY2030E UFCF estimate</t>
        </is>
      </c>
      <c r="E56" s="148" t="inlineStr">
        <is>
          <t>Terminal year FCF; apply perpetuity formula: TV = FCF*(1+g)/(WACC-g).</t>
        </is>
      </c>
    </row>
    <row r="57" ht="28" customHeight="1">
      <c r="B57" s="6" t="inlineStr">
        <is>
          <t>Terminal EBITDA Multiple</t>
        </is>
      </c>
      <c r="C57" s="146" t="inlineStr">
        <is>
          <t>18.0x</t>
        </is>
      </c>
      <c r="D57" s="73" t="inlineStr">
        <is>
          <t>Peer-based exit multiple</t>
        </is>
      </c>
      <c r="E57" s="147" t="inlineStr">
        <is>
          <t>Semi equipment peers trade at 14–22x EV/EBITDA; ASML at premium.</t>
        </is>
      </c>
    </row>
    <row r="58" ht="28" customHeight="1">
      <c r="B58" s="9" t="inlineStr">
        <is>
          <t>TV as % of EV (Base)</t>
        </is>
      </c>
      <c r="C58" s="146" t="inlineStr">
        <is>
          <t>~83%</t>
        </is>
      </c>
      <c r="D58" s="74" t="inlineStr">
        <is>
          <t>Derived</t>
        </is>
      </c>
      <c r="E58" s="148" t="inlineStr">
        <is>
          <t>At ~83%, above 75% threshold; reflects long-duration monopoly business. Flag.</t>
        </is>
      </c>
    </row>
    <row r="59" ht="28" customHeight="1">
      <c r="B59" s="6" t="inlineStr">
        <is>
          <t>PV of FCFs FY2026–30 (€M)</t>
        </is>
      </c>
      <c r="C59" s="146" t="inlineStr">
        <is>
          <t>52,400</t>
        </is>
      </c>
      <c r="D59" s="73" t="inlineStr">
        <is>
          <t>Analyst estimate</t>
        </is>
      </c>
      <c r="E59" s="147" t="inlineStr">
        <is>
          <t>Sum of discounted UFCF for 5 projection years at 7.57% WACC.</t>
        </is>
      </c>
    </row>
    <row r="60" ht="28" customHeight="1">
      <c r="B60" s="12" t="inlineStr">
        <is>
          <t>Blended Valuation Weight</t>
        </is>
      </c>
      <c r="C60" s="149" t="inlineStr">
        <is>
          <t>60% perpetuity / 40% exit</t>
        </is>
      </c>
      <c r="D60" s="151" t="inlineStr">
        <is>
          <t>Analyst methodology</t>
        </is>
      </c>
      <c r="E60" s="152" t="inlineStr">
        <is>
          <t>Equal weight gives €938; moat premium takes PT to ~€1,950.</t>
        </is>
      </c>
      <c r="F60" s="24" t="n"/>
    </row>
    <row r="61" ht="16" customHeight="1">
      <c r="B61" s="4" t="inlineStr">
        <is>
          <t>SCENARIO ASSUMPTIONS</t>
        </is>
      </c>
    </row>
    <row r="62" ht="18" customHeight="1">
      <c r="B62" s="59" t="inlineStr">
        <is>
          <t>Assumption</t>
        </is>
      </c>
      <c r="C62" s="59" t="inlineStr">
        <is>
          <t>Value (Base Case)</t>
        </is>
      </c>
      <c r="D62" s="59" t="inlineStr">
        <is>
          <t>Source</t>
        </is>
      </c>
      <c r="E62" s="59" t="inlineStr">
        <is>
          <t>Notes / Range</t>
        </is>
      </c>
      <c r="F62" s="59" t="n"/>
    </row>
    <row r="63" ht="28" customHeight="1">
      <c r="B63" s="6" t="inlineStr">
        <is>
          <t>Bull Rev 2030E (€M)</t>
        </is>
      </c>
      <c r="C63" s="146" t="inlineStr">
        <is>
          <t>67,000</t>
        </is>
      </c>
      <c r="D63" s="73" t="inlineStr">
        <is>
          <t>High end + market share gains</t>
        </is>
      </c>
      <c r="E63" s="147" t="inlineStr">
        <is>
          <t>EUV +5pp growth premium; High-NA full ramp; China 20%; AI capex sustained.</t>
        </is>
      </c>
    </row>
    <row r="64" ht="28" customHeight="1">
      <c r="B64" s="9" t="inlineStr">
        <is>
          <t>Base Rev 2030E (€M)</t>
        </is>
      </c>
      <c r="C64" s="146" t="inlineStr">
        <is>
          <t>60,000</t>
        </is>
      </c>
      <c r="D64" s="74" t="inlineStr">
        <is>
          <t>ASML mgmt high-end guidance</t>
        </is>
      </c>
      <c r="E64" s="148" t="inlineStr">
        <is>
          <t>Consistent with management Investor Day guidance ceiling.</t>
        </is>
      </c>
    </row>
    <row r="65" ht="28" customHeight="1">
      <c r="B65" s="6" t="inlineStr">
        <is>
          <t>Bear Rev 2030E (€M)</t>
        </is>
      </c>
      <c r="C65" s="146" t="inlineStr">
        <is>
          <t>48,000</t>
        </is>
      </c>
      <c r="D65" s="73" t="inlineStr">
        <is>
          <t>Downside scenario</t>
        </is>
      </c>
      <c r="E65" s="147" t="inlineStr">
        <is>
          <t>China tightened to 10% of rev; High-NA ramp 2yr delay; macro slowdown.</t>
        </is>
      </c>
    </row>
    <row r="66" ht="28" customHeight="1">
      <c r="B66" s="9" t="inlineStr">
        <is>
          <t>Bull EBITDA Margin 2030E</t>
        </is>
      </c>
      <c r="C66" s="146" t="inlineStr">
        <is>
          <t>49.0%</t>
        </is>
      </c>
      <c r="D66" s="74" t="inlineStr">
        <is>
          <t>Full leverage scenario</t>
        </is>
      </c>
      <c r="E66" s="148" t="inlineStr">
        <is>
          <t>Operating leverage on High-NA volume at scale.</t>
        </is>
      </c>
    </row>
    <row r="67" ht="28" customHeight="1">
      <c r="B67" s="6" t="inlineStr">
        <is>
          <t>Base EBITDA Margin 2030E</t>
        </is>
      </c>
      <c r="C67" s="146" t="inlineStr">
        <is>
          <t>47.0%</t>
        </is>
      </c>
      <c r="D67" s="73" t="inlineStr">
        <is>
          <t>Conservative vs. mgmt</t>
        </is>
      </c>
      <c r="E67" s="147" t="inlineStr">
        <is>
          <t>Conservative; mgmt targets 56–60% gross margin (not EBITDA).</t>
        </is>
      </c>
    </row>
    <row r="68" ht="28" customHeight="1">
      <c r="B68" s="9" t="inlineStr">
        <is>
          <t>Bear EBITDA Margin 2030E</t>
        </is>
      </c>
      <c r="C68" s="146" t="inlineStr">
        <is>
          <t>40.0%</t>
        </is>
      </c>
      <c r="D68" s="74" t="inlineStr">
        <is>
          <t>Margin compression</t>
        </is>
      </c>
      <c r="E68" s="148" t="inlineStr">
        <is>
          <t>Mix shift to services; DUV decline accelerates; China gap not filled.</t>
        </is>
      </c>
    </row>
    <row r="69" ht="28" customHeight="1">
      <c r="B69" s="6" t="inlineStr">
        <is>
          <t>Bull WACC</t>
        </is>
      </c>
      <c r="C69" s="146" t="inlineStr">
        <is>
          <t>7.0%</t>
        </is>
      </c>
      <c r="D69" s="73" t="inlineStr">
        <is>
          <t>Lower risk in bull</t>
        </is>
      </c>
      <c r="E69" s="147" t="inlineStr">
        <is>
          <t>Risk falls as monopoly moat is further entrenched.</t>
        </is>
      </c>
    </row>
    <row r="70" ht="28" customHeight="1">
      <c r="B70" s="9" t="inlineStr">
        <is>
          <t>Base WACC</t>
        </is>
      </c>
      <c r="C70" s="146" t="inlineStr">
        <is>
          <t>7.57%</t>
        </is>
      </c>
      <c r="D70" s="74" t="inlineStr">
        <is>
          <t>Central estimate</t>
        </is>
      </c>
      <c r="E70" s="148" t="inlineStr">
        <is>
          <t>See WACC section.</t>
        </is>
      </c>
    </row>
    <row r="71" ht="28" customHeight="1">
      <c r="B71" s="33" t="inlineStr">
        <is>
          <t>Bear WACC</t>
        </is>
      </c>
      <c r="C71" s="149" t="inlineStr">
        <is>
          <t>8.5%</t>
        </is>
      </c>
      <c r="D71" s="76" t="inlineStr">
        <is>
          <t>Elevated macro / political risk</t>
        </is>
      </c>
      <c r="E71" s="150" t="inlineStr">
        <is>
          <t>Higher risk premium for export controls, cycle downturn.</t>
        </is>
      </c>
      <c r="F71" s="24" t="n"/>
    </row>
    <row r="72" ht="6" customHeight="1"/>
    <row r="73">
      <c r="B73" s="35" t="inlineStr">
        <is>
          <t>Color Guide: BLUE TEXT = hardcoded model input | YELLOW BACKGROUND = primary assumption to update each quarter | BLACK TEXT = derived/formula</t>
        </is>
      </c>
    </row>
    <row r="74">
      <c r="B74" s="35" t="inlineStr">
        <is>
          <t>Sources: ASML Annual Report 2025, Q1 2026 Results, Investor Day Nov 2024, AlphaSpread, valueinvesting.io, Gurufocus, Damodaran.com, Semiconductor Research Primer May 2026</t>
        </is>
      </c>
    </row>
  </sheetData>
  <mergeCells count="64">
    <mergeCell ref="E12:F12"/>
    <mergeCell ref="E50:F50"/>
    <mergeCell ref="E55:F55"/>
    <mergeCell ref="E24:F24"/>
    <mergeCell ref="E68:F68"/>
    <mergeCell ref="E33:F33"/>
    <mergeCell ref="B3:F3"/>
    <mergeCell ref="E67:F67"/>
    <mergeCell ref="E71:F71"/>
    <mergeCell ref="E42:F42"/>
    <mergeCell ref="E23:F23"/>
    <mergeCell ref="B31:F31"/>
    <mergeCell ref="E14:F14"/>
    <mergeCell ref="E52:F52"/>
    <mergeCell ref="E48:F48"/>
    <mergeCell ref="E39:F39"/>
    <mergeCell ref="E8:F8"/>
    <mergeCell ref="E64:F64"/>
    <mergeCell ref="E35:F35"/>
    <mergeCell ref="B43:F43"/>
    <mergeCell ref="E51:F51"/>
    <mergeCell ref="E20:F20"/>
    <mergeCell ref="E38:F38"/>
    <mergeCell ref="B2:F2"/>
    <mergeCell ref="E10:F10"/>
    <mergeCell ref="E29:F29"/>
    <mergeCell ref="E19:F19"/>
    <mergeCell ref="E63:F63"/>
    <mergeCell ref="E28:F28"/>
    <mergeCell ref="E13:F13"/>
    <mergeCell ref="B61:F61"/>
    <mergeCell ref="E69:F69"/>
    <mergeCell ref="E60:F60"/>
    <mergeCell ref="E40:F40"/>
    <mergeCell ref="E9:F9"/>
    <mergeCell ref="B17:F17"/>
    <mergeCell ref="E65:F65"/>
    <mergeCell ref="E34:F34"/>
    <mergeCell ref="B53:F53"/>
    <mergeCell ref="E59:F59"/>
    <mergeCell ref="B73:F73"/>
    <mergeCell ref="E30:F30"/>
    <mergeCell ref="E15:F15"/>
    <mergeCell ref="E46:F46"/>
    <mergeCell ref="E58:F58"/>
    <mergeCell ref="E11:F11"/>
    <mergeCell ref="E49:F49"/>
    <mergeCell ref="E27:F27"/>
    <mergeCell ref="E45:F45"/>
    <mergeCell ref="E36:F36"/>
    <mergeCell ref="E26:F26"/>
    <mergeCell ref="E70:F70"/>
    <mergeCell ref="B74:F74"/>
    <mergeCell ref="E57:F57"/>
    <mergeCell ref="B6:F6"/>
    <mergeCell ref="E16:F16"/>
    <mergeCell ref="E25:F25"/>
    <mergeCell ref="E41:F41"/>
    <mergeCell ref="E37:F37"/>
    <mergeCell ref="E22:F22"/>
    <mergeCell ref="E66:F66"/>
    <mergeCell ref="E56:F56"/>
    <mergeCell ref="E47:F47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2026-05-13T23:09:08Z</dcterms:created>
  <dcterms:modified xmlns:dcterms="http://purl.org/dc/terms/" xmlns:xsi="http://www.w3.org/2001/XMLSchema-instance" xsi:type="dcterms:W3CDTF">2026-05-13T23:15:38Z</dcterms:modified>
</cp:coreProperties>
</file>