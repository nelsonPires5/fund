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m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$#,##0.00"/>
    <numFmt numFmtId="166" formatCode="(#,##0);-"/>
    <numFmt numFmtId="167" formatCode="0.0x"/>
    <numFmt numFmtId="168" formatCode="0.0"/>
    <numFmt numFmtId="169" formatCode="0.0000"/>
    <numFmt numFmtId="170" formatCode="$#,##0.0"/>
    <numFmt numFmtId="171" formatCode=""/>
    <numFmt numFmtId="172" formatCode="$#,##0"/>
  </numFmts>
  <fonts count="33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color rgb="000000FF"/>
      <sz val="10"/>
      <u val="single"/>
    </font>
    <font>
      <name val="Calibri"/>
      <sz val="10"/>
    </font>
    <font>
      <name val="Calibri"/>
      <b val="1"/>
      <sz val="10"/>
    </font>
    <font>
      <name val="Calibri"/>
      <color rgb="000000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375623"/>
      <sz val="9"/>
    </font>
    <font>
      <name val="Calibri"/>
      <b val="1"/>
      <sz val="9"/>
    </font>
    <font>
      <name val="Calibri"/>
      <sz val="9"/>
    </font>
    <font>
      <name val="Calibri"/>
      <b val="1"/>
      <color rgb="00843C0C"/>
      <sz val="9"/>
    </font>
    <font>
      <name val="Calibri"/>
      <i val="1"/>
      <color rgb="00595959"/>
      <sz val="8"/>
    </font>
    <font>
      <name val="Calibri"/>
      <i val="1"/>
      <sz val="9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color rgb="00375623"/>
      <sz val="9"/>
    </font>
    <font>
      <name val="Calibri"/>
      <b val="1"/>
      <color rgb="009C6500"/>
      <sz val="10"/>
    </font>
    <font>
      <name val="Calibri"/>
      <color rgb="009C6500"/>
      <sz val="9"/>
    </font>
    <font>
      <name val="Calibri"/>
      <b val="1"/>
      <color rgb="009C0006"/>
      <sz val="10"/>
    </font>
    <font>
      <name val="Calibri"/>
      <color rgb="009C0006"/>
      <sz val="9"/>
    </font>
    <font>
      <name val="Calibri"/>
      <b val="1"/>
      <color rgb="00C00000"/>
      <sz val="11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color rgb="00008000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C000"/>
      <sz val="14"/>
    </font>
    <font>
      <name val="Calibri"/>
      <b val="1"/>
      <color rgb="00FFC000"/>
      <sz val="12"/>
    </font>
    <font>
      <name val="Calibri"/>
      <b val="1"/>
      <color rgb="00C6EFCE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indent="1"/>
    </xf>
    <xf numFmtId="3" fontId="9" fillId="6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indent="1"/>
    </xf>
    <xf numFmtId="3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3" fontId="9" fillId="5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top" wrapText="1" indent="1"/>
    </xf>
    <xf numFmtId="0" fontId="13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left" vertical="top" wrapText="1" indent="1"/>
    </xf>
    <xf numFmtId="0" fontId="14" fillId="0" borderId="0" applyAlignment="1" pivotButton="0" quotePrefix="0" xfId="0">
      <alignment horizontal="left" vertical="center" indent="1"/>
    </xf>
    <xf numFmtId="164" fontId="7" fillId="9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top" wrapText="1" indent="1"/>
    </xf>
    <xf numFmtId="0" fontId="6" fillId="9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top" wrapText="1" indent="1"/>
    </xf>
    <xf numFmtId="3" fontId="7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indent="1"/>
    </xf>
    <xf numFmtId="3" fontId="5" fillId="10" borderId="0" applyAlignment="1" pivotButton="0" quotePrefix="0" xfId="0">
      <alignment horizontal="right" vertical="center"/>
    </xf>
    <xf numFmtId="3" fontId="7" fillId="10" borderId="0" applyAlignment="1" pivotButton="0" quotePrefix="0" xfId="0">
      <alignment horizontal="right" vertical="center"/>
    </xf>
    <xf numFmtId="164" fontId="16" fillId="10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indent="1"/>
    </xf>
    <xf numFmtId="3" fontId="5" fillId="7" borderId="0" applyAlignment="1" pivotButton="0" quotePrefix="0" xfId="0">
      <alignment horizontal="right" vertical="center"/>
    </xf>
    <xf numFmtId="3" fontId="7" fillId="7" borderId="0" applyAlignment="1" pivotButton="0" quotePrefix="0" xfId="0">
      <alignment horizontal="right" vertical="center"/>
    </xf>
    <xf numFmtId="164" fontId="16" fillId="7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 indent="1"/>
    </xf>
    <xf numFmtId="3" fontId="5" fillId="9" borderId="0" applyAlignment="1" pivotButton="0" quotePrefix="0" xfId="0">
      <alignment horizontal="right" vertical="center"/>
    </xf>
    <xf numFmtId="3" fontId="7" fillId="9" borderId="0" applyAlignment="1" pivotButton="0" quotePrefix="0" xfId="0">
      <alignment horizontal="right" vertical="center"/>
    </xf>
    <xf numFmtId="164" fontId="16" fillId="9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 indent="1"/>
    </xf>
    <xf numFmtId="3" fontId="5" fillId="8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164" fontId="16" fillId="8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 indent="1"/>
    </xf>
    <xf numFmtId="3" fontId="5" fillId="11" borderId="0" applyAlignment="1" pivotButton="0" quotePrefix="0" xfId="0">
      <alignment horizontal="right" vertical="center"/>
    </xf>
    <xf numFmtId="3" fontId="7" fillId="11" borderId="0" applyAlignment="1" pivotButton="0" quotePrefix="0" xfId="0">
      <alignment horizontal="right" vertical="center"/>
    </xf>
    <xf numFmtId="164" fontId="16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 indent="1"/>
    </xf>
    <xf numFmtId="3" fontId="5" fillId="12" borderId="0" applyAlignment="1" pivotButton="0" quotePrefix="0" xfId="0">
      <alignment horizontal="right" vertical="center"/>
    </xf>
    <xf numFmtId="3" fontId="7" fillId="12" borderId="0" applyAlignment="1" pivotButton="0" quotePrefix="0" xfId="0">
      <alignment horizontal="right" vertical="center"/>
    </xf>
    <xf numFmtId="164" fontId="16" fillId="12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indent="1"/>
    </xf>
    <xf numFmtId="3" fontId="9" fillId="4" borderId="0" applyAlignment="1" pivotButton="0" quotePrefix="0" xfId="0">
      <alignment horizontal="right" vertical="center"/>
    </xf>
    <xf numFmtId="164" fontId="16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indent="1"/>
    </xf>
    <xf numFmtId="3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7" fillId="13" borderId="0" applyAlignment="1" pivotButton="0" quotePrefix="0" xfId="0">
      <alignment horizontal="center" vertical="center"/>
    </xf>
    <xf numFmtId="3" fontId="17" fillId="13" borderId="0" applyAlignment="1" pivotButton="0" quotePrefix="0" xfId="0">
      <alignment horizontal="right" vertical="center"/>
    </xf>
    <xf numFmtId="0" fontId="18" fillId="13" borderId="0" applyAlignment="1" pivotButton="0" quotePrefix="0" xfId="0">
      <alignment horizontal="left" vertical="top" wrapText="1" indent="1"/>
    </xf>
    <xf numFmtId="0" fontId="19" fillId="14" borderId="0" applyAlignment="1" pivotButton="0" quotePrefix="0" xfId="0">
      <alignment horizontal="center" vertical="center"/>
    </xf>
    <xf numFmtId="3" fontId="19" fillId="14" borderId="0" applyAlignment="1" pivotButton="0" quotePrefix="0" xfId="0">
      <alignment horizontal="right" vertical="center"/>
    </xf>
    <xf numFmtId="0" fontId="20" fillId="14" borderId="0" applyAlignment="1" pivotButton="0" quotePrefix="0" xfId="0">
      <alignment horizontal="left" vertical="top" wrapText="1" indent="1"/>
    </xf>
    <xf numFmtId="0" fontId="21" fillId="15" borderId="0" applyAlignment="1" pivotButton="0" quotePrefix="0" xfId="0">
      <alignment horizontal="center" vertical="center"/>
    </xf>
    <xf numFmtId="3" fontId="21" fillId="15" borderId="0" applyAlignment="1" pivotButton="0" quotePrefix="0" xfId="0">
      <alignment horizontal="right" vertical="center"/>
    </xf>
    <xf numFmtId="0" fontId="22" fillId="15" borderId="0" applyAlignment="1" pivotButton="0" quotePrefix="0" xfId="0">
      <alignment horizontal="left" vertical="top" wrapText="1" indent="1"/>
    </xf>
    <xf numFmtId="0" fontId="2" fillId="2" borderId="0" applyAlignment="1" pivotButton="0" quotePrefix="0" xfId="0">
      <alignment horizontal="left" vertical="center" indent="1"/>
    </xf>
    <xf numFmtId="3" fontId="16" fillId="2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6" fontId="16" fillId="5" borderId="0" applyAlignment="1" pivotButton="0" quotePrefix="0" xfId="0">
      <alignment horizontal="right" vertical="center"/>
    </xf>
    <xf numFmtId="3" fontId="16" fillId="4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4" fontId="16" fillId="5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6" fontId="16" fillId="6" borderId="0" applyAlignment="1" pivotButton="0" quotePrefix="0" xfId="0">
      <alignment horizontal="right" vertical="center"/>
    </xf>
    <xf numFmtId="3" fontId="7" fillId="6" borderId="0" applyAlignment="1" pivotButton="0" quotePrefix="0" xfId="0">
      <alignment horizontal="right" vertical="center"/>
    </xf>
    <xf numFmtId="3" fontId="16" fillId="6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164" fontId="16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16" fillId="6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3" fontId="16" fillId="5" borderId="0" applyAlignment="1" pivotButton="0" quotePrefix="0" xfId="0">
      <alignment horizontal="right" vertical="center"/>
    </xf>
    <xf numFmtId="167" fontId="16" fillId="5" borderId="0" applyAlignment="1" pivotButton="0" quotePrefix="0" xfId="0">
      <alignment horizontal="right" vertical="center"/>
    </xf>
    <xf numFmtId="167" fontId="16" fillId="6" borderId="0" applyAlignment="1" pivotButton="0" quotePrefix="0" xfId="0">
      <alignment horizontal="right" vertical="center"/>
    </xf>
    <xf numFmtId="0" fontId="16" fillId="6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10" fontId="7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 indent="1"/>
    </xf>
    <xf numFmtId="0" fontId="15" fillId="5" borderId="0" applyAlignment="1" pivotButton="0" quotePrefix="0" xfId="0">
      <alignment horizontal="left" vertical="center" indent="1"/>
    </xf>
    <xf numFmtId="0" fontId="15" fillId="6" borderId="0" applyAlignment="1" pivotButton="0" quotePrefix="0" xfId="0">
      <alignment horizontal="left" vertical="center" indent="1"/>
    </xf>
    <xf numFmtId="10" fontId="16" fillId="6" borderId="0" applyAlignment="1" pivotButton="0" quotePrefix="0" xfId="0">
      <alignment horizontal="right" vertical="center"/>
    </xf>
    <xf numFmtId="10" fontId="16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165" fontId="23" fillId="16" borderId="0" applyAlignment="1" pivotButton="0" quotePrefix="0" xfId="0">
      <alignment horizontal="right" vertical="center"/>
    </xf>
    <xf numFmtId="10" fontId="23" fillId="16" borderId="0" applyAlignment="1" pivotButton="0" quotePrefix="0" xfId="0">
      <alignment horizontal="right" vertical="center"/>
    </xf>
    <xf numFmtId="164" fontId="17" fillId="4" borderId="0" applyAlignment="1" pivotButton="0" quotePrefix="0" xfId="0">
      <alignment horizontal="right" vertical="center"/>
    </xf>
    <xf numFmtId="0" fontId="25" fillId="9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9" fontId="16" fillId="5" borderId="0" applyAlignment="1" pivotButton="0" quotePrefix="0" xfId="0">
      <alignment horizontal="right" vertical="center"/>
    </xf>
    <xf numFmtId="3" fontId="8" fillId="2" borderId="0" applyAlignment="1" pivotButton="0" quotePrefix="0" xfId="0">
      <alignment horizontal="right" vertical="center"/>
    </xf>
    <xf numFmtId="3" fontId="16" fillId="9" borderId="0" applyAlignment="1" pivotButton="0" quotePrefix="0" xfId="0">
      <alignment horizontal="right" vertical="center"/>
    </xf>
    <xf numFmtId="0" fontId="27" fillId="16" borderId="0" applyAlignment="1" pivotButton="0" quotePrefix="0" xfId="0">
      <alignment horizontal="left" vertical="center" indent="1"/>
    </xf>
    <xf numFmtId="3" fontId="23" fillId="16" borderId="0" applyAlignment="1" pivotButton="0" quotePrefix="0" xfId="0">
      <alignment horizontal="right" vertical="center"/>
    </xf>
    <xf numFmtId="0" fontId="9" fillId="16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167" fontId="7" fillId="9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28" fillId="4" borderId="0" applyAlignment="1" pivotButton="0" quotePrefix="0" xfId="0">
      <alignment horizontal="center" vertical="center"/>
    </xf>
    <xf numFmtId="165" fontId="28" fillId="6" borderId="0" applyAlignment="1" pivotButton="0" quotePrefix="0" xfId="0">
      <alignment horizontal="center" vertical="center"/>
    </xf>
    <xf numFmtId="165" fontId="28" fillId="5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8" fillId="16" borderId="0" applyAlignment="1" pivotButton="0" quotePrefix="0" xfId="0">
      <alignment horizontal="center" vertical="center"/>
    </xf>
    <xf numFmtId="165" fontId="27" fillId="16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 indent="1"/>
    </xf>
    <xf numFmtId="3" fontId="19" fillId="9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 indent="1"/>
    </xf>
    <xf numFmtId="0" fontId="22" fillId="15" borderId="0" applyAlignment="1" pivotButton="0" quotePrefix="0" xfId="0">
      <alignment horizontal="left" vertical="center" indent="1"/>
    </xf>
    <xf numFmtId="164" fontId="17" fillId="13" borderId="0" applyAlignment="1" pivotButton="0" quotePrefix="0" xfId="0">
      <alignment horizontal="right" vertical="center"/>
    </xf>
    <xf numFmtId="164" fontId="19" fillId="9" borderId="0" applyAlignment="1" pivotButton="0" quotePrefix="0" xfId="0">
      <alignment horizontal="right" vertical="center"/>
    </xf>
    <xf numFmtId="164" fontId="21" fillId="15" borderId="0" applyAlignment="1" pivotButton="0" quotePrefix="0" xfId="0">
      <alignment horizontal="right" vertical="center"/>
    </xf>
    <xf numFmtId="165" fontId="17" fillId="13" borderId="0" applyAlignment="1" pivotButton="0" quotePrefix="0" xfId="0">
      <alignment horizontal="right" vertical="center"/>
    </xf>
    <xf numFmtId="165" fontId="19" fillId="9" borderId="0" applyAlignment="1" pivotButton="0" quotePrefix="0" xfId="0">
      <alignment horizontal="right" vertical="center"/>
    </xf>
    <xf numFmtId="165" fontId="21" fillId="15" borderId="0" applyAlignment="1" pivotButton="0" quotePrefix="0" xfId="0">
      <alignment horizontal="right" vertical="center"/>
    </xf>
    <xf numFmtId="0" fontId="17" fillId="13" borderId="0" applyAlignment="1" pivotButton="0" quotePrefix="0" xfId="0">
      <alignment horizontal="right" vertical="center"/>
    </xf>
    <xf numFmtId="0" fontId="19" fillId="9" borderId="0" applyAlignment="1" pivotButton="0" quotePrefix="0" xfId="0">
      <alignment horizontal="right" vertical="center"/>
    </xf>
    <xf numFmtId="0" fontId="21" fillId="15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left" vertical="center" indent="1"/>
    </xf>
    <xf numFmtId="0" fontId="28" fillId="5" borderId="0" applyAlignment="1" pivotButton="0" quotePrefix="0" xfId="0">
      <alignment horizontal="center" vertical="center"/>
    </xf>
    <xf numFmtId="170" fontId="28" fillId="5" borderId="0" applyAlignment="1" pivotButton="0" quotePrefix="0" xfId="0">
      <alignment horizontal="right" vertical="center"/>
    </xf>
    <xf numFmtId="167" fontId="28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center" vertical="center"/>
    </xf>
    <xf numFmtId="49" fontId="28" fillId="5" borderId="0" applyAlignment="1" pivotButton="0" quotePrefix="0" xfId="0">
      <alignment horizontal="right" vertical="center"/>
    </xf>
    <xf numFmtId="0" fontId="28" fillId="6" borderId="0" applyAlignment="1" pivotButton="0" quotePrefix="0" xfId="0">
      <alignment horizontal="left" vertical="center" indent="1"/>
    </xf>
    <xf numFmtId="0" fontId="28" fillId="6" borderId="0" applyAlignment="1" pivotButton="0" quotePrefix="0" xfId="0">
      <alignment horizontal="center" vertical="center"/>
    </xf>
    <xf numFmtId="170" fontId="28" fillId="6" borderId="0" applyAlignment="1" pivotButton="0" quotePrefix="0" xfId="0">
      <alignment horizontal="right" vertical="center"/>
    </xf>
    <xf numFmtId="167" fontId="28" fillId="6" borderId="0" applyAlignment="1" pivotButton="0" quotePrefix="0" xfId="0">
      <alignment horizontal="right" vertical="center"/>
    </xf>
    <xf numFmtId="164" fontId="28" fillId="6" borderId="0" applyAlignment="1" pivotButton="0" quotePrefix="0" xfId="0">
      <alignment horizontal="right" vertical="center"/>
    </xf>
    <xf numFmtId="0" fontId="17" fillId="6" borderId="0" applyAlignment="1" pivotButton="0" quotePrefix="0" xfId="0">
      <alignment horizontal="center" vertical="center"/>
    </xf>
    <xf numFmtId="49" fontId="28" fillId="6" borderId="0" applyAlignment="1" pivotButton="0" quotePrefix="0" xfId="0">
      <alignment horizontal="right" vertical="center"/>
    </xf>
    <xf numFmtId="171" fontId="28" fillId="6" borderId="0" applyAlignment="1" pivotButton="0" quotePrefix="0" xfId="0">
      <alignment horizontal="right" vertical="center"/>
    </xf>
    <xf numFmtId="0" fontId="19" fillId="6" borderId="0" applyAlignment="1" pivotButton="0" quotePrefix="0" xfId="0">
      <alignment horizontal="center" vertical="center"/>
    </xf>
    <xf numFmtId="0" fontId="27" fillId="16" borderId="0" applyAlignment="1" pivotButton="0" quotePrefix="0" xfId="0">
      <alignment horizontal="center" vertical="center"/>
    </xf>
    <xf numFmtId="170" fontId="27" fillId="16" borderId="0" applyAlignment="1" pivotButton="0" quotePrefix="0" xfId="0">
      <alignment horizontal="right" vertical="center"/>
    </xf>
    <xf numFmtId="167" fontId="27" fillId="16" borderId="0" applyAlignment="1" pivotButton="0" quotePrefix="0" xfId="0">
      <alignment horizontal="right" vertical="center"/>
    </xf>
    <xf numFmtId="164" fontId="27" fillId="16" borderId="0" applyAlignment="1" pivotButton="0" quotePrefix="0" xfId="0">
      <alignment horizontal="right" vertical="center"/>
    </xf>
    <xf numFmtId="0" fontId="19" fillId="16" borderId="0" applyAlignment="1" pivotButton="0" quotePrefix="0" xfId="0">
      <alignment horizontal="center" vertical="center"/>
    </xf>
    <xf numFmtId="165" fontId="27" fillId="16" borderId="0" applyAlignment="1" pivotButton="0" quotePrefix="0" xfId="0">
      <alignment horizontal="right" vertical="center"/>
    </xf>
    <xf numFmtId="0" fontId="15" fillId="16" borderId="0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right" vertical="center"/>
    </xf>
    <xf numFmtId="167" fontId="5" fillId="6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 indent="1"/>
    </xf>
    <xf numFmtId="167" fontId="6" fillId="16" borderId="0" applyAlignment="1" pivotButton="0" quotePrefix="0" xfId="0">
      <alignment horizontal="right" vertical="center"/>
    </xf>
    <xf numFmtId="164" fontId="6" fillId="16" borderId="0" applyAlignment="1" pivotButton="0" quotePrefix="0" xfId="0">
      <alignment horizontal="right" vertical="center"/>
    </xf>
    <xf numFmtId="164" fontId="21" fillId="16" borderId="0" applyAlignment="1" pivotButton="0" quotePrefix="0" xfId="0">
      <alignment horizontal="right" vertical="center"/>
    </xf>
    <xf numFmtId="164" fontId="17" fillId="16" borderId="0" applyAlignment="1" pivotButton="0" quotePrefix="0" xfId="0">
      <alignment horizontal="right" vertical="center"/>
    </xf>
    <xf numFmtId="3" fontId="5" fillId="5" borderId="0" applyAlignment="1" pivotButton="0" quotePrefix="0" xfId="0">
      <alignment horizontal="right" vertical="center"/>
    </xf>
    <xf numFmtId="165" fontId="28" fillId="5" borderId="0" applyAlignment="1" pivotButton="0" quotePrefix="0" xfId="0">
      <alignment horizontal="right" vertical="center"/>
    </xf>
    <xf numFmtId="164" fontId="17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center" vertical="center"/>
    </xf>
    <xf numFmtId="165" fontId="28" fillId="6" borderId="0" applyAlignment="1" pivotButton="0" quotePrefix="0" xfId="0">
      <alignment horizontal="right" vertical="center"/>
    </xf>
    <xf numFmtId="164" fontId="21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16" fillId="5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 indent="1"/>
    </xf>
    <xf numFmtId="172" fontId="3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1" fillId="2" borderId="0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36" customHeight="1">
      <c r="B2" s="1" t="inlineStr">
        <is>
          <t>QUALCOMM INCORPORATED (QCOM) — INITIATING COVERAGE</t>
        </is>
      </c>
    </row>
    <row r="3" ht="22" customHeight="1">
      <c r="B3" s="2" t="inlineStr">
        <is>
          <t>Sector: Technology | Industry: Semiconductors | Rating: BUY | Price Target: $235 | Generated: 13 May 2026</t>
        </is>
      </c>
    </row>
    <row r="5" ht="18" customHeight="1">
      <c r="B5" s="3" t="inlineStr">
        <is>
          <t>WORKBOOK NAVIGATION</t>
        </is>
      </c>
    </row>
    <row r="6" ht="16" customHeight="1">
      <c r="B6" s="4" t="inlineStr">
        <is>
          <t>Summary</t>
        </is>
      </c>
      <c r="C6" s="5" t="inlineStr">
        <is>
          <t>Overview, rating, price target, key metrics snapshot</t>
        </is>
      </c>
    </row>
    <row r="7" ht="16" customHeight="1">
      <c r="B7" s="4" t="inlineStr">
        <is>
          <t>Revenue Model</t>
        </is>
      </c>
      <c r="C7" s="5" t="inlineStr">
        <is>
          <t>Segment-level revenue build: 5-yr historical + 5-yr projections (Bull/Base/Bear)</t>
        </is>
      </c>
    </row>
    <row r="8" ht="16" customHeight="1">
      <c r="B8" s="4" t="inlineStr">
        <is>
          <t>Income Stmt</t>
        </is>
      </c>
      <c r="C8" s="5" t="inlineStr">
        <is>
          <t>Full P&amp;L with margin %s and growth rates</t>
        </is>
      </c>
    </row>
    <row r="9" ht="16" customHeight="1">
      <c r="B9" s="4" t="inlineStr">
        <is>
          <t>Balance Sheet</t>
        </is>
      </c>
      <c r="C9" s="5" t="inlineStr">
        <is>
          <t>Historical balance sheet with leverage and liquidity metrics</t>
        </is>
      </c>
    </row>
    <row r="10" ht="16" customHeight="1">
      <c r="B10" s="4" t="inlineStr">
        <is>
          <t>Cash Flow</t>
        </is>
      </c>
      <c r="C10" s="5" t="inlineStr">
        <is>
          <t>Operating, investing, financing cash flows + FCF trend</t>
        </is>
      </c>
    </row>
    <row r="11" ht="16" customHeight="1">
      <c r="B11" s="4" t="inlineStr">
        <is>
          <t>DCF</t>
        </is>
      </c>
      <c r="C11" s="5" t="inlineStr">
        <is>
          <t>WACC, 5-yr UFCF, terminal value, implied equity value per share</t>
        </is>
      </c>
    </row>
    <row r="12" ht="16" customHeight="1">
      <c r="B12" s="4" t="inlineStr">
        <is>
          <t>Sensitivity</t>
        </is>
      </c>
      <c r="C12" s="5" t="inlineStr">
        <is>
          <t>Three sensitivity tables: WACC/g, revenue/margin, scenario comparison</t>
        </is>
      </c>
    </row>
    <row r="13" ht="16" customHeight="1">
      <c r="B13" s="4" t="inlineStr">
        <is>
          <t>Comps</t>
        </is>
      </c>
      <c r="C13" s="5" t="inlineStr">
        <is>
          <t>Comparable company trading multiples and QCOM implied values</t>
        </is>
      </c>
    </row>
    <row r="15" ht="8" customHeight="1"/>
    <row r="16" ht="18" customHeight="1">
      <c r="B16" s="6" t="inlineStr">
        <is>
          <t>CURRENT MARKET DATA (as of 13-May-2026)</t>
        </is>
      </c>
      <c r="G16" s="6" t="inlineStr">
        <is>
          <t>RECOMMENDATION SUMMARY</t>
        </is>
      </c>
    </row>
    <row r="17" ht="16" customHeight="1">
      <c r="B17" s="7" t="inlineStr">
        <is>
          <t>Stock Price (13-May-2026)</t>
        </is>
      </c>
      <c r="C17" s="8" t="inlineStr">
        <is>
          <t>$213.17</t>
        </is>
      </c>
      <c r="G17" s="7" t="inlineStr">
        <is>
          <t>Price Target</t>
        </is>
      </c>
      <c r="H17" s="8" t="inlineStr">
        <is>
          <t>$235.00</t>
        </is>
      </c>
    </row>
    <row r="18" ht="16" customHeight="1">
      <c r="B18" s="9" t="inlineStr">
        <is>
          <t>Market Cap</t>
        </is>
      </c>
      <c r="C18" s="10" t="inlineStr">
        <is>
          <t>$224.7B</t>
        </is>
      </c>
      <c r="G18" s="9" t="inlineStr">
        <is>
          <t>Upside / Downside</t>
        </is>
      </c>
      <c r="H18" s="10" t="inlineStr">
        <is>
          <t>10.2%</t>
        </is>
      </c>
    </row>
    <row r="19" ht="16" customHeight="1">
      <c r="B19" s="7" t="inlineStr">
        <is>
          <t>Enterprise Value (est.)</t>
        </is>
      </c>
      <c r="C19" s="8" t="inlineStr">
        <is>
          <t>~$228B</t>
        </is>
      </c>
      <c r="G19" s="7" t="inlineStr">
        <is>
          <t>Rating</t>
        </is>
      </c>
      <c r="H19" s="8" t="inlineStr">
        <is>
          <t>BUY</t>
        </is>
      </c>
    </row>
    <row r="20" ht="16" customHeight="1">
      <c r="B20" s="9" t="inlineStr">
        <is>
          <t>52-Week Range</t>
        </is>
      </c>
      <c r="C20" s="10" t="inlineStr">
        <is>
          <t>$140–$220</t>
        </is>
      </c>
      <c r="G20" s="9" t="inlineStr">
        <is>
          <t>Analyst Consensus</t>
        </is>
      </c>
      <c r="H20" s="10" t="inlineStr">
        <is>
          <t>HOLD (20 analysts)</t>
        </is>
      </c>
    </row>
    <row r="21" ht="16" customHeight="1">
      <c r="B21" s="7" t="inlineStr">
        <is>
          <t>Shares Outstanding (dil.)</t>
        </is>
      </c>
      <c r="C21" s="8" t="inlineStr">
        <is>
          <t>~1,055M</t>
        </is>
      </c>
      <c r="G21" s="7" t="inlineStr">
        <is>
          <t>Avg PT (20 anl.)</t>
        </is>
      </c>
      <c r="H21" s="8" t="inlineStr">
        <is>
          <t>$178.95</t>
        </is>
      </c>
    </row>
    <row r="22" ht="16" customHeight="1">
      <c r="B22" s="9" t="inlineStr">
        <is>
          <t>Dividend Yield</t>
        </is>
      </c>
      <c r="C22" s="10" t="inlineStr">
        <is>
          <t>~2.1%</t>
        </is>
      </c>
      <c r="G22" s="9" t="inlineStr">
        <is>
          <t>Bull PT (Tigress)</t>
        </is>
      </c>
      <c r="H22" s="10" t="inlineStr">
        <is>
          <t>$280</t>
        </is>
      </c>
    </row>
    <row r="23" ht="16" customHeight="1">
      <c r="B23" s="7" t="inlineStr">
        <is>
          <t>FY2025 Revenue</t>
        </is>
      </c>
      <c r="C23" s="8" t="inlineStr">
        <is>
          <t>$44.3B</t>
        </is>
      </c>
      <c r="G23" s="7" t="inlineStr">
        <is>
          <t>Bear PT</t>
        </is>
      </c>
      <c r="H23" s="8" t="inlineStr">
        <is>
          <t>$120</t>
        </is>
      </c>
    </row>
    <row r="24" ht="16" customHeight="1">
      <c r="B24" s="9" t="inlineStr">
        <is>
          <t>FY2025 Adj. FCF</t>
        </is>
      </c>
      <c r="C24" s="10" t="inlineStr">
        <is>
          <t>$12.8B</t>
        </is>
      </c>
      <c r="G24" s="9" t="inlineStr">
        <is>
          <t>Our PT Weight</t>
        </is>
      </c>
      <c r="H24" s="10" t="inlineStr">
        <is>
          <t>50% DCF / 50% Comps</t>
        </is>
      </c>
    </row>
    <row r="26" ht="8" customHeight="1"/>
    <row r="27" ht="18" customHeight="1">
      <c r="B27" s="6" t="inlineStr">
        <is>
          <t>KEY FINANCIAL METRICS ($M unless noted)</t>
        </is>
      </c>
    </row>
    <row r="28" ht="20" customHeight="1">
      <c r="B28" s="11" t="inlineStr">
        <is>
          <t>Metric</t>
        </is>
      </c>
      <c r="C28" s="11" t="inlineStr">
        <is>
          <t>FY2021</t>
        </is>
      </c>
      <c r="D28" s="11" t="inlineStr">
        <is>
          <t>FY2022</t>
        </is>
      </c>
      <c r="E28" s="11" t="inlineStr">
        <is>
          <t>FY2023</t>
        </is>
      </c>
      <c r="F28" s="11" t="inlineStr">
        <is>
          <t>FY2024</t>
        </is>
      </c>
      <c r="G28" s="11" t="inlineStr">
        <is>
          <t>FY2025</t>
        </is>
      </c>
      <c r="H28" s="11" t="inlineStr">
        <is>
          <t>FY2026E</t>
        </is>
      </c>
      <c r="I28" s="11" t="inlineStr">
        <is>
          <t>FY2027E</t>
        </is>
      </c>
      <c r="J28" s="11" t="inlineStr">
        <is>
          <t>FY2028E</t>
        </is>
      </c>
    </row>
    <row r="29" ht="16" customHeight="1">
      <c r="B29" s="12" t="inlineStr">
        <is>
          <t>Revenue ($M)</t>
        </is>
      </c>
      <c r="C29" s="13" t="n">
        <v>33566</v>
      </c>
      <c r="D29" s="13" t="n">
        <v>44200</v>
      </c>
      <c r="E29" s="13" t="n">
        <v>35820</v>
      </c>
      <c r="F29" s="13" t="n">
        <v>38962</v>
      </c>
      <c r="G29" s="13" t="n">
        <v>44284</v>
      </c>
      <c r="H29" s="13" t="n">
        <v>42456</v>
      </c>
      <c r="I29" s="13" t="n">
        <v>42465</v>
      </c>
      <c r="J29" s="13" t="n">
        <v>46333</v>
      </c>
    </row>
    <row r="30" ht="16" customHeight="1">
      <c r="B30" s="14" t="inlineStr">
        <is>
          <t>YoY Growth</t>
        </is>
      </c>
      <c r="C30" s="15" t="inlineStr">
        <is>
          <t>N/A</t>
        </is>
      </c>
      <c r="D30" s="16" t="n">
        <v>0.317</v>
      </c>
      <c r="E30" s="16" t="n">
        <v>-0.19</v>
      </c>
      <c r="F30" s="16" t="n">
        <v>0.08699999999999999</v>
      </c>
      <c r="G30" s="16" t="n">
        <v>0.136</v>
      </c>
      <c r="H30" s="16" t="n">
        <v>-0.042</v>
      </c>
      <c r="I30" s="16" t="n">
        <v>0</v>
      </c>
      <c r="J30" s="16" t="n">
        <v>0.091</v>
      </c>
    </row>
    <row r="31" ht="16" customHeight="1">
      <c r="B31" s="17" t="inlineStr">
        <is>
          <t>Gross Profit ($M)</t>
        </is>
      </c>
      <c r="C31" s="18" t="n">
        <v>19304</v>
      </c>
      <c r="D31" s="18" t="n">
        <v>25565</v>
      </c>
      <c r="E31" s="18" t="n">
        <v>19951</v>
      </c>
      <c r="F31" s="18" t="n">
        <v>21902</v>
      </c>
      <c r="G31" s="18" t="n">
        <v>24546</v>
      </c>
      <c r="H31" s="18" t="n">
        <v>23387</v>
      </c>
      <c r="I31" s="18" t="n">
        <v>23474</v>
      </c>
      <c r="J31" s="18" t="n">
        <v>25682</v>
      </c>
    </row>
    <row r="32" ht="16" customHeight="1">
      <c r="B32" s="14" t="inlineStr">
        <is>
          <t>Gross Margin</t>
        </is>
      </c>
      <c r="C32" s="16" t="n">
        <v>0.575</v>
      </c>
      <c r="D32" s="16" t="n">
        <v>0.578</v>
      </c>
      <c r="E32" s="16" t="n">
        <v>0.5570000000000001</v>
      </c>
      <c r="F32" s="16" t="n">
        <v>0.5620000000000001</v>
      </c>
      <c r="G32" s="16" t="n">
        <v>0.554</v>
      </c>
      <c r="H32" s="16" t="n">
        <v>0.551</v>
      </c>
      <c r="I32" s="16" t="n">
        <v>0.553</v>
      </c>
      <c r="J32" s="16" t="n">
        <v>0.554</v>
      </c>
    </row>
    <row r="33" ht="16" customHeight="1">
      <c r="B33" s="12" t="inlineStr">
        <is>
          <t>Adj. EBITDA ($M)</t>
        </is>
      </c>
      <c r="C33" s="13" t="n">
        <v>11371</v>
      </c>
      <c r="D33" s="13" t="n">
        <v>17622</v>
      </c>
      <c r="E33" s="13" t="n">
        <v>9597</v>
      </c>
      <c r="F33" s="13" t="n">
        <v>11777</v>
      </c>
      <c r="G33" s="13" t="n">
        <v>13957</v>
      </c>
      <c r="H33" s="13" t="n">
        <v>15042</v>
      </c>
      <c r="I33" s="13" t="n">
        <v>14473</v>
      </c>
      <c r="J33" s="13" t="n">
        <v>16126</v>
      </c>
    </row>
    <row r="34" ht="16" customHeight="1">
      <c r="B34" s="14" t="inlineStr">
        <is>
          <t>Adj. EBITDA Margin</t>
        </is>
      </c>
      <c r="C34" s="16" t="n">
        <v>0.339</v>
      </c>
      <c r="D34" s="16" t="n">
        <v>0.399</v>
      </c>
      <c r="E34" s="16" t="n">
        <v>0.268</v>
      </c>
      <c r="F34" s="16" t="n">
        <v>0.302</v>
      </c>
      <c r="G34" s="16" t="n">
        <v>0.315</v>
      </c>
      <c r="H34" s="16" t="n">
        <v>0.354</v>
      </c>
      <c r="I34" s="16" t="n">
        <v>0.341</v>
      </c>
      <c r="J34" s="16" t="n">
        <v>0.348</v>
      </c>
    </row>
    <row r="35" ht="16" customHeight="1">
      <c r="B35" s="17" t="inlineStr">
        <is>
          <t>Adj. EPS</t>
        </is>
      </c>
      <c r="C35" s="19" t="n">
        <v>8.539999999999999</v>
      </c>
      <c r="D35" s="19" t="n">
        <v>12.53</v>
      </c>
      <c r="E35" s="19" t="n">
        <v>8.43</v>
      </c>
      <c r="F35" s="19" t="n">
        <v>10.22</v>
      </c>
      <c r="G35" s="19" t="n">
        <v>12.03</v>
      </c>
      <c r="H35" s="20" t="inlineStr">
        <is>
          <t>N/A</t>
        </is>
      </c>
      <c r="I35" s="19" t="n">
        <v>12.48</v>
      </c>
      <c r="J35" s="19" t="n">
        <v>13.58</v>
      </c>
    </row>
    <row r="36" ht="16" customHeight="1">
      <c r="B36" s="21" t="inlineStr">
        <is>
          <t>Free Cash Flow ($M)</t>
        </is>
      </c>
      <c r="C36" s="22" t="n">
        <v>8648</v>
      </c>
      <c r="D36" s="22" t="n">
        <v>6834</v>
      </c>
      <c r="E36" s="22" t="n">
        <v>9849</v>
      </c>
      <c r="F36" s="22" t="n">
        <v>11161</v>
      </c>
      <c r="G36" s="22" t="n">
        <v>12820</v>
      </c>
      <c r="H36" s="22" t="n">
        <v>12007</v>
      </c>
      <c r="I36" s="22" t="n">
        <v>10910</v>
      </c>
      <c r="J36" s="22" t="n">
        <v>11849</v>
      </c>
    </row>
    <row r="37" ht="16" customHeight="1">
      <c r="B37" s="17" t="inlineStr">
        <is>
          <t>FCF Margin</t>
        </is>
      </c>
      <c r="C37" s="23" t="n">
        <v>0.258</v>
      </c>
      <c r="D37" s="23" t="n">
        <v>0.155</v>
      </c>
      <c r="E37" s="23" t="n">
        <v>0.275</v>
      </c>
      <c r="F37" s="23" t="n">
        <v>0.286</v>
      </c>
      <c r="G37" s="23" t="n">
        <v>0.289</v>
      </c>
      <c r="H37" s="23" t="n">
        <v>0.283</v>
      </c>
      <c r="I37" s="23" t="n">
        <v>0.257</v>
      </c>
      <c r="J37" s="23" t="n">
        <v>0.256</v>
      </c>
    </row>
    <row r="38" ht="16" customHeight="1">
      <c r="B38" s="14" t="inlineStr">
        <is>
          <t>Net Debt / Adj. EBITDA</t>
        </is>
      </c>
      <c r="C38" s="16" t="n">
        <v>1.23</v>
      </c>
      <c r="D38" s="16" t="n">
        <v>0.92</v>
      </c>
      <c r="E38" s="16" t="n">
        <v>0.42</v>
      </c>
      <c r="F38" s="16" t="n">
        <v>0.11</v>
      </c>
      <c r="G38" s="16" t="n">
        <v>0.33</v>
      </c>
      <c r="H38" s="15" t="inlineStr">
        <is>
          <t>N/A</t>
        </is>
      </c>
      <c r="I38" s="15" t="inlineStr">
        <is>
          <t>N/A</t>
        </is>
      </c>
      <c r="J38" s="15" t="inlineStr">
        <is>
          <t>N/A</t>
        </is>
      </c>
    </row>
    <row r="39" ht="16" customHeight="1">
      <c r="B39" s="17" t="inlineStr">
        <is>
          <t>ROIC</t>
        </is>
      </c>
      <c r="C39" s="23" t="n">
        <v>0.214</v>
      </c>
      <c r="D39" s="23" t="n">
        <v>0.268</v>
      </c>
      <c r="E39" s="23" t="n">
        <v>0.213</v>
      </c>
      <c r="F39" s="23" t="n">
        <v>0.268</v>
      </c>
      <c r="G39" s="23" t="n">
        <v>0.149</v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1" ht="8" customHeight="1"/>
    <row r="42" ht="18" customHeight="1">
      <c r="B42" s="6" t="inlineStr">
        <is>
          <t>INVESTMENT THESIS (3-5 YEAR HORIZON)</t>
        </is>
      </c>
    </row>
    <row r="43" ht="40" customHeight="1">
      <c r="B43" s="24" t="inlineStr">
        <is>
          <t>BULL 1</t>
        </is>
      </c>
      <c r="C43" s="25" t="inlineStr">
        <is>
          <t>Automotive &amp; IoT Hypergrowth:</t>
        </is>
      </c>
      <c r="D43" s="26" t="inlineStr">
        <is>
          <t>Management targets $22B non-handset revenue by FY29 (from ~$10B in FY25). Automotive grew 36% in FY25 and 59% in Q2 FY25; $8B auto revenue target by FY29 implies a ~32% CAGR.</t>
        </is>
      </c>
    </row>
    <row r="44" ht="40" customHeight="1">
      <c r="B44" s="24" t="inlineStr">
        <is>
          <t>BULL 2</t>
        </is>
      </c>
      <c r="C44" s="25" t="inlineStr">
        <is>
          <t>Edge AI Leadership:</t>
        </is>
      </c>
      <c r="D44" s="26" t="inlineStr">
        <is>
          <t>Snapdragon X Elite outperforms Intel Panther Lake by ~30% on CPU benchmarks; Qualcomm uniquely spans milliwatt to kilowatt AI edge deployments (smartphone, PC, auto, industrial, robotics).</t>
        </is>
      </c>
    </row>
    <row r="45" ht="40" customHeight="1">
      <c r="B45" s="24" t="inlineStr">
        <is>
          <t>BULL 3</t>
        </is>
      </c>
      <c r="C45" s="25" t="inlineStr">
        <is>
          <t>QTL Licensing Moat:</t>
        </is>
      </c>
      <c r="D45" s="26" t="inlineStr">
        <is>
          <t>QTL generates ~70–77% EBIT margins with minimal CapEx. IP licensing (CDMA/5G/OFDM patents) creates a structural royalty annuity protected through at least 2027 (Apple contract expiry).</t>
        </is>
      </c>
    </row>
    <row r="46" ht="40" customHeight="1">
      <c r="B46" s="24" t="inlineStr">
        <is>
          <t>BULL 4</t>
        </is>
      </c>
      <c r="C46" s="25" t="inlineStr">
        <is>
          <t>Extreme Free Cash Flow:</t>
        </is>
      </c>
      <c r="D46" s="26" t="inlineStr">
        <is>
          <t>FY25 FCF of $12.8B (record). Fabless model keeps CapEx at ~2.7% of revenue vs. 28–42% for IDMs. Qualcomm returned $12.6B to shareholders in FY25 (buybacks + dividends).</t>
        </is>
      </c>
    </row>
    <row r="47" ht="40" customHeight="1">
      <c r="B47" s="27" t="inlineStr">
        <is>
          <t>RISK 1</t>
        </is>
      </c>
      <c r="C47" s="28" t="inlineStr">
        <is>
          <t>Apple Modem Transition (Key Risk):</t>
        </is>
      </c>
      <c r="D47" s="29" t="inlineStr">
        <is>
          <t>Apple (~27% of QCT handset revenue) plans to use in-house modem in fall 2026 iPhones. Full transition by 2027 could reduce annual revenue by $5.7–5.9B. The current P/E of 22.9x reflects this overhang.</t>
        </is>
      </c>
    </row>
    <row r="48" ht="40" customHeight="1">
      <c r="B48" s="27" t="inlineStr">
        <is>
          <t>RISK 2</t>
        </is>
      </c>
      <c r="C48" s="28" t="inlineStr">
        <is>
          <t>MediaTek Competition:</t>
        </is>
      </c>
      <c r="D48" s="29" t="inlineStr">
        <is>
          <t>MediaTek has overtaken Qualcomm in global smartphone chipset market share (budget/mid-range); China handset dynamics are also pressuring near-term revenue.</t>
        </is>
      </c>
    </row>
    <row r="49" ht="40" customHeight="1">
      <c r="B49" s="27" t="inlineStr">
        <is>
          <t>RISK 3</t>
        </is>
      </c>
      <c r="C49" s="28" t="inlineStr">
        <is>
          <t>Geopolitical / China Exposure:</t>
        </is>
      </c>
      <c r="D49" s="29" t="inlineStr">
        <is>
          <t>Approximately 60%+ of QCT revenue derives from Chinese OEM shipments; U.S.-China tech decoupling and tariff escalation represent a material risk to earnings.</t>
        </is>
      </c>
    </row>
    <row r="51" ht="14" customHeight="1">
      <c r="B51" s="30" t="inlineStr">
        <is>
          <t>Source: Company filings, consensus estimates (Bloomberg/FactSet), Perplexity Finance, Semiconductor &amp; AI Infrastructure Primer (May 2026). For informational purposes only.</t>
        </is>
      </c>
    </row>
  </sheetData>
  <mergeCells count="39">
    <mergeCell ref="C17:F17"/>
    <mergeCell ref="C23:F23"/>
    <mergeCell ref="B16:F16"/>
    <mergeCell ref="B42:J42"/>
    <mergeCell ref="C6:J6"/>
    <mergeCell ref="G16:J16"/>
    <mergeCell ref="H17:J17"/>
    <mergeCell ref="C19:F19"/>
    <mergeCell ref="C18:F18"/>
    <mergeCell ref="H22:J22"/>
    <mergeCell ref="D44:J44"/>
    <mergeCell ref="H19:J19"/>
    <mergeCell ref="C10:J10"/>
    <mergeCell ref="C24:F24"/>
    <mergeCell ref="C9:J9"/>
    <mergeCell ref="D46:J46"/>
    <mergeCell ref="C12:J12"/>
    <mergeCell ref="H24:J24"/>
    <mergeCell ref="B5:J5"/>
    <mergeCell ref="B51:J51"/>
    <mergeCell ref="H18:J18"/>
    <mergeCell ref="D45:J45"/>
    <mergeCell ref="C11:J11"/>
    <mergeCell ref="C20:F20"/>
    <mergeCell ref="H23:J23"/>
    <mergeCell ref="D49:J49"/>
    <mergeCell ref="C8:J8"/>
    <mergeCell ref="H20:J20"/>
    <mergeCell ref="C22:F22"/>
    <mergeCell ref="B3:J3"/>
    <mergeCell ref="C7:J7"/>
    <mergeCell ref="D48:J48"/>
    <mergeCell ref="C21:F21"/>
    <mergeCell ref="B27:J27"/>
    <mergeCell ref="D47:J47"/>
    <mergeCell ref="C13:J13"/>
    <mergeCell ref="D43:J43"/>
    <mergeCell ref="H21:J21"/>
    <mergeCell ref="B2:J2"/>
  </mergeCells>
  <hyperlinks>
    <hyperlink ref="B6" location="Summary!B2"/>
    <hyperlink ref="B7" location="Revenue Model!B2"/>
    <hyperlink ref="B8" location="Income Stmt!B2"/>
    <hyperlink ref="B9" location="Balance Sheet!B2"/>
    <hyperlink ref="B10" location="Cash Flow!B2"/>
    <hyperlink ref="B11" location="DCF!B2"/>
    <hyperlink ref="B12" location="Sensitivity!B2"/>
    <hyperlink ref="B13" location="Comps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2"/>
  <sheetViews>
    <sheetView showGridLines="0"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2" ht="30" customHeight="1">
      <c r="B2" s="1" t="inlineStr">
        <is>
          <t>QUALCOMM (QCOM) — SEGMENT REVENUE MODEL ($M)</t>
        </is>
      </c>
    </row>
    <row r="3" ht="16" customHeight="1">
      <c r="B3" s="2" t="inlineStr">
        <is>
          <t>Historical: FY2021–FY2025 (actual) | Projected: FY2026E–FY2030E (Bull / Base / Bear scenarios)</t>
        </is>
      </c>
    </row>
    <row r="5" ht="18" customHeight="1">
      <c r="B5" s="6" t="inlineStr">
        <is>
          <t>KEY REVENUE GROWTH ASSUMPTIONS (Blue = Input; Black = Formula)</t>
        </is>
      </c>
    </row>
    <row r="6" ht="20" customHeight="1">
      <c r="B6" s="11" t="inlineStr">
        <is>
          <t>Segment / Driver</t>
        </is>
      </c>
      <c r="C6" s="11" t="inlineStr"/>
      <c r="D6" s="11" t="inlineStr">
        <is>
          <t>FY2026E</t>
        </is>
      </c>
      <c r="E6" s="11" t="inlineStr">
        <is>
          <t>FY2027E</t>
        </is>
      </c>
      <c r="F6" s="11" t="inlineStr">
        <is>
          <t>FY2028E</t>
        </is>
      </c>
      <c r="G6" s="11" t="inlineStr">
        <is>
          <t>FY2029E</t>
        </is>
      </c>
      <c r="H6" s="11" t="inlineStr">
        <is>
          <t>FY2030E</t>
        </is>
      </c>
      <c r="I6" s="11" t="inlineStr"/>
      <c r="J6" s="11" t="inlineStr">
        <is>
          <t>Source / Rationale</t>
        </is>
      </c>
    </row>
    <row r="7" ht="30" customHeight="1">
      <c r="B7" s="7" t="inlineStr">
        <is>
          <t>QCT Handsets — Growth Rate</t>
        </is>
      </c>
      <c r="C7" s="15" t="inlineStr"/>
      <c r="D7" s="31" t="n">
        <v>0.01</v>
      </c>
      <c r="E7" s="31" t="n">
        <v>0.03</v>
      </c>
      <c r="F7" s="31" t="n">
        <v>0.05</v>
      </c>
      <c r="G7" s="31" t="n">
        <v>0.06</v>
      </c>
      <c r="H7" s="31" t="n">
        <v>0.05</v>
      </c>
      <c r="I7" s="15" t="inlineStr"/>
      <c r="J7" s="32" t="inlineStr">
        <is>
          <t>Near-term headwind from Apple modem loss (~FY27 full impact); Android share offsets. Non-Apple handset up 15% YoY in FY25.</t>
        </is>
      </c>
    </row>
    <row r="8" ht="30" customHeight="1">
      <c r="B8" s="33" t="inlineStr">
        <is>
          <t>QCT Automotive — Growth Rate</t>
        </is>
      </c>
      <c r="C8" s="34" t="inlineStr"/>
      <c r="D8" s="31" t="n">
        <v>0.37</v>
      </c>
      <c r="E8" s="31" t="n">
        <v>0.45</v>
      </c>
      <c r="F8" s="31" t="n">
        <v>0.4</v>
      </c>
      <c r="G8" s="31" t="n">
        <v>0.32</v>
      </c>
      <c r="H8" s="31" t="n">
        <v>0.28</v>
      </c>
      <c r="I8" s="34" t="inlineStr"/>
      <c r="J8" s="35" t="inlineStr">
        <is>
          <t>Mgmt target: $8B by FY29 (~32% CAGR from FY25 $2.9B base). Q2-FY26 auto up 38% YoY; automotive exits FY26 at &gt;$6B run-rate.</t>
        </is>
      </c>
    </row>
    <row r="9" ht="30" customHeight="1">
      <c r="B9" s="7" t="inlineStr">
        <is>
          <t>QCT IoT — Growth Rate</t>
        </is>
      </c>
      <c r="C9" s="15" t="inlineStr"/>
      <c r="D9" s="31" t="n">
        <v>0.12</v>
      </c>
      <c r="E9" s="31" t="n">
        <v>0.15</v>
      </c>
      <c r="F9" s="31" t="n">
        <v>0.18</v>
      </c>
      <c r="G9" s="31" t="n">
        <v>0.2</v>
      </c>
      <c r="H9" s="31" t="n">
        <v>0.18</v>
      </c>
      <c r="I9" s="15" t="inlineStr"/>
      <c r="J9" s="32" t="inlineStr">
        <is>
          <t>Mgmt target: $14B IoT by FY29. Industrial IoT + AI-enabled wearables + smart glasses drive acceleration; 9–27% YoY recent quarters.</t>
        </is>
      </c>
    </row>
    <row r="10" ht="30" customHeight="1">
      <c r="B10" s="33" t="inlineStr">
        <is>
          <t>QCT PC — Growth Rate</t>
        </is>
      </c>
      <c r="C10" s="34" t="inlineStr"/>
      <c r="D10" s="31" t="n">
        <v>0.5</v>
      </c>
      <c r="E10" s="31" t="n">
        <v>0.6</v>
      </c>
      <c r="F10" s="31" t="n">
        <v>0.55</v>
      </c>
      <c r="G10" s="31" t="n">
        <v>0.4</v>
      </c>
      <c r="H10" s="31" t="n">
        <v>0.3</v>
      </c>
      <c r="I10" s="34" t="inlineStr"/>
      <c r="J10" s="35" t="inlineStr">
        <is>
          <t>Mgmt target $4B by FY29 from near-zero base. Snapdragon X Elite displacing Intel in premium Windows notebooks (30% perf advantage).</t>
        </is>
      </c>
    </row>
    <row r="11" ht="30" customHeight="1">
      <c r="B11" s="7" t="inlineStr">
        <is>
          <t>QTL Licensing — Growth Rate</t>
        </is>
      </c>
      <c r="C11" s="15" t="inlineStr"/>
      <c r="D11" s="31" t="n">
        <v>0.02</v>
      </c>
      <c r="E11" s="31" t="n">
        <v>0.02</v>
      </c>
      <c r="F11" s="31" t="n">
        <v>0.02</v>
      </c>
      <c r="G11" s="31" t="n">
        <v>0.02</v>
      </c>
      <c r="H11" s="31" t="n">
        <v>0.02</v>
      </c>
      <c r="I11" s="15" t="inlineStr"/>
      <c r="J11" s="32" t="inlineStr">
        <is>
          <t>Stable royalty stream tied to global 5G handset unit growth. Apple contract renewal risk in 2027 is key swing factor.</t>
        </is>
      </c>
    </row>
    <row r="12" ht="30" customHeight="1">
      <c r="B12" s="33" t="inlineStr">
        <is>
          <t>QSI — Revenue</t>
        </is>
      </c>
      <c r="C12" s="34" t="inlineStr"/>
      <c r="D12" s="36" t="n">
        <v>0</v>
      </c>
      <c r="E12" s="36" t="n">
        <v>0</v>
      </c>
      <c r="F12" s="36" t="n">
        <v>0</v>
      </c>
      <c r="G12" s="36" t="n">
        <v>0</v>
      </c>
      <c r="H12" s="36" t="n">
        <v>0</v>
      </c>
      <c r="I12" s="34" t="inlineStr"/>
      <c r="J12" s="35" t="inlineStr">
        <is>
          <t>Immaterial; kept at zero (venture investments, not revenue-generating at scale).</t>
        </is>
      </c>
    </row>
    <row r="14" ht="8" customHeight="1"/>
    <row r="15" ht="18" customHeight="1">
      <c r="B15" s="6" t="inlineStr">
        <is>
          <t>SEGMENT REVENUE BUILD ($M) — Historical + Base Case Projections</t>
        </is>
      </c>
    </row>
    <row r="16" ht="20" customHeight="1">
      <c r="B16" s="11" t="inlineStr">
        <is>
          <t>Segment</t>
        </is>
      </c>
      <c r="C16" s="11" t="inlineStr">
        <is>
          <t>FY2021A</t>
        </is>
      </c>
      <c r="D16" s="11" t="inlineStr">
        <is>
          <t>FY2022A</t>
        </is>
      </c>
      <c r="E16" s="11" t="inlineStr">
        <is>
          <t>FY2023A</t>
        </is>
      </c>
      <c r="F16" s="11" t="inlineStr">
        <is>
          <t>FY2024A</t>
        </is>
      </c>
      <c r="G16" s="11" t="inlineStr">
        <is>
          <t>FY2025A</t>
        </is>
      </c>
      <c r="H16" s="11" t="inlineStr">
        <is>
          <t>FY2026E</t>
        </is>
      </c>
      <c r="I16" s="11" t="inlineStr">
        <is>
          <t>FY2027E</t>
        </is>
      </c>
      <c r="J16" s="11" t="inlineStr">
        <is>
          <t>FY2028E</t>
        </is>
      </c>
      <c r="K16" s="11" t="inlineStr">
        <is>
          <t>FY2029E</t>
        </is>
      </c>
      <c r="L16" s="11" t="inlineStr">
        <is>
          <t>FY2030E</t>
        </is>
      </c>
      <c r="M16" s="11" t="inlineStr">
        <is>
          <t>YoY 26E</t>
        </is>
      </c>
      <c r="N16" s="11" t="inlineStr">
        <is>
          <t>YoY 27E</t>
        </is>
      </c>
      <c r="O16" s="11" t="inlineStr">
        <is>
          <t>YoY 28E</t>
        </is>
      </c>
    </row>
    <row r="17" ht="16" customHeight="1">
      <c r="B17" s="37" t="inlineStr">
        <is>
          <t>QCT Handsets</t>
        </is>
      </c>
      <c r="C17" s="38" t="n">
        <v>24700</v>
      </c>
      <c r="D17" s="38" t="n">
        <v>32500</v>
      </c>
      <c r="E17" s="38" t="n">
        <v>25900</v>
      </c>
      <c r="F17" s="38" t="n">
        <v>28200</v>
      </c>
      <c r="G17" s="38" t="n">
        <v>29500</v>
      </c>
      <c r="H17" s="39" t="n">
        <v>29795</v>
      </c>
      <c r="I17" s="39" t="n">
        <v>30689</v>
      </c>
      <c r="J17" s="39" t="n">
        <v>32223</v>
      </c>
      <c r="K17" s="39" t="n">
        <v>34157</v>
      </c>
      <c r="L17" s="39" t="n">
        <v>35865</v>
      </c>
      <c r="M17" s="40">
        <f>(H17-G17)/G17</f>
        <v/>
      </c>
      <c r="N17" s="40">
        <f>(J17-I17)/I17</f>
        <v/>
      </c>
      <c r="O17" s="40">
        <f>(K17-J17)/J17</f>
        <v/>
      </c>
    </row>
    <row r="18" ht="16" customHeight="1">
      <c r="B18" s="41" t="inlineStr">
        <is>
          <t>QCT Automotive</t>
        </is>
      </c>
      <c r="C18" s="42" t="n">
        <v>800</v>
      </c>
      <c r="D18" s="42" t="n">
        <v>1100</v>
      </c>
      <c r="E18" s="42" t="n">
        <v>1900</v>
      </c>
      <c r="F18" s="42" t="n">
        <v>2200</v>
      </c>
      <c r="G18" s="42" t="n">
        <v>2900</v>
      </c>
      <c r="H18" s="43" t="n">
        <v>3973</v>
      </c>
      <c r="I18" s="43" t="n">
        <v>5761</v>
      </c>
      <c r="J18" s="43" t="n">
        <v>8065</v>
      </c>
      <c r="K18" s="43" t="n">
        <v>10646</v>
      </c>
      <c r="L18" s="43" t="n">
        <v>13627</v>
      </c>
      <c r="M18" s="44">
        <f>(H18-G18)/G18</f>
        <v/>
      </c>
      <c r="N18" s="44">
        <f>(J18-I18)/I18</f>
        <v/>
      </c>
      <c r="O18" s="44">
        <f>(K18-J18)/J18</f>
        <v/>
      </c>
    </row>
    <row r="19" ht="16" customHeight="1">
      <c r="B19" s="45" t="inlineStr">
        <is>
          <t>QCT IoT</t>
        </is>
      </c>
      <c r="C19" s="46" t="n">
        <v>4900</v>
      </c>
      <c r="D19" s="46" t="n">
        <v>7100</v>
      </c>
      <c r="E19" s="46" t="n">
        <v>5600</v>
      </c>
      <c r="F19" s="46" t="n">
        <v>6400</v>
      </c>
      <c r="G19" s="46" t="n">
        <v>6000</v>
      </c>
      <c r="H19" s="47" t="n">
        <v>6720</v>
      </c>
      <c r="I19" s="47" t="n">
        <v>7728</v>
      </c>
      <c r="J19" s="47" t="n">
        <v>9119</v>
      </c>
      <c r="K19" s="47" t="n">
        <v>10943</v>
      </c>
      <c r="L19" s="47" t="n">
        <v>12913</v>
      </c>
      <c r="M19" s="48">
        <f>(H19-G19)/G19</f>
        <v/>
      </c>
      <c r="N19" s="48">
        <f>(J19-I19)/I19</f>
        <v/>
      </c>
      <c r="O19" s="48">
        <f>(K19-J19)/J19</f>
        <v/>
      </c>
    </row>
    <row r="20" ht="16" customHeight="1">
      <c r="B20" s="49" t="inlineStr">
        <is>
          <t>QCT PC / Other</t>
        </is>
      </c>
      <c r="C20" s="50" t="n">
        <v>100</v>
      </c>
      <c r="D20" s="50" t="n">
        <v>200</v>
      </c>
      <c r="E20" s="50" t="n">
        <v>350</v>
      </c>
      <c r="F20" s="50" t="n">
        <v>600</v>
      </c>
      <c r="G20" s="50" t="n">
        <v>1150</v>
      </c>
      <c r="H20" s="51" t="n">
        <v>1725</v>
      </c>
      <c r="I20" s="51" t="n">
        <v>2760</v>
      </c>
      <c r="J20" s="51" t="n">
        <v>4278</v>
      </c>
      <c r="K20" s="51" t="n">
        <v>5989</v>
      </c>
      <c r="L20" s="51" t="n">
        <v>7786</v>
      </c>
      <c r="M20" s="52">
        <f>(H20-G20)/G20</f>
        <v/>
      </c>
      <c r="N20" s="52">
        <f>(J20-I20)/I20</f>
        <v/>
      </c>
      <c r="O20" s="52">
        <f>(K20-J20)/J20</f>
        <v/>
      </c>
    </row>
    <row r="21" ht="16" customHeight="1">
      <c r="B21" s="53" t="inlineStr">
        <is>
          <t>QTL Revenue</t>
        </is>
      </c>
      <c r="C21" s="54" t="n">
        <v>5000</v>
      </c>
      <c r="D21" s="54" t="n">
        <v>5800</v>
      </c>
      <c r="E21" s="54" t="n">
        <v>5200</v>
      </c>
      <c r="F21" s="54" t="n">
        <v>5500</v>
      </c>
      <c r="G21" s="54" t="n">
        <v>5600</v>
      </c>
      <c r="H21" s="55" t="n">
        <v>5712</v>
      </c>
      <c r="I21" s="55" t="n">
        <v>5826</v>
      </c>
      <c r="J21" s="55" t="n">
        <v>5943</v>
      </c>
      <c r="K21" s="55" t="n">
        <v>6062</v>
      </c>
      <c r="L21" s="55" t="n">
        <v>6183</v>
      </c>
      <c r="M21" s="56">
        <f>(H21-G21)/G21</f>
        <v/>
      </c>
      <c r="N21" s="56">
        <f>(J21-I21)/I21</f>
        <v/>
      </c>
      <c r="O21" s="56">
        <f>(K21-J21)/J21</f>
        <v/>
      </c>
    </row>
    <row r="22" ht="16" customHeight="1">
      <c r="B22" s="57" t="inlineStr">
        <is>
          <t>QSI / Other</t>
        </is>
      </c>
      <c r="C22" s="58" t="n">
        <v>66</v>
      </c>
      <c r="D22" s="58" t="n">
        <v>64</v>
      </c>
      <c r="E22" s="58" t="n">
        <v>71</v>
      </c>
      <c r="F22" s="58" t="n">
        <v>62</v>
      </c>
      <c r="G22" s="58" t="n">
        <v>84</v>
      </c>
      <c r="H22" s="59" t="n">
        <v>84</v>
      </c>
      <c r="I22" s="59" t="n">
        <v>84</v>
      </c>
      <c r="J22" s="59" t="n">
        <v>84</v>
      </c>
      <c r="K22" s="59" t="n">
        <v>84</v>
      </c>
      <c r="L22" s="59" t="n">
        <v>84</v>
      </c>
      <c r="M22" s="60">
        <f>(H22-G22)/G22</f>
        <v/>
      </c>
      <c r="N22" s="60">
        <f>(J22-I22)/I22</f>
        <v/>
      </c>
      <c r="O22" s="60">
        <f>(K22-J22)/J22</f>
        <v/>
      </c>
    </row>
    <row r="23" ht="18" customHeight="1">
      <c r="B23" s="61" t="inlineStr">
        <is>
          <t>TOTAL QCT</t>
        </is>
      </c>
      <c r="C23" s="62" t="n">
        <v>30500</v>
      </c>
      <c r="D23" s="62" t="n">
        <v>40900</v>
      </c>
      <c r="E23" s="62" t="n">
        <v>33750</v>
      </c>
      <c r="F23" s="62" t="n">
        <v>37400</v>
      </c>
      <c r="G23" s="62" t="n">
        <v>39550</v>
      </c>
      <c r="H23" s="62" t="n">
        <v>42213</v>
      </c>
      <c r="I23" s="62" t="n">
        <v>46938</v>
      </c>
      <c r="J23" s="62" t="n">
        <v>53685</v>
      </c>
      <c r="K23" s="62" t="n">
        <v>61735</v>
      </c>
      <c r="L23" s="62" t="n">
        <v>70191</v>
      </c>
      <c r="M23" s="63">
        <f>(H23-G23)/G23</f>
        <v/>
      </c>
      <c r="N23" s="63">
        <f>(I23-H23)/H23</f>
        <v/>
      </c>
      <c r="O23" s="63">
        <f>(J23-I23)/I23</f>
        <v/>
      </c>
    </row>
    <row r="24" ht="5" customHeight="1"/>
    <row r="25" ht="20" customHeight="1">
      <c r="B25" s="64" t="inlineStr">
        <is>
          <t>TOTAL REVENUE</t>
        </is>
      </c>
      <c r="C25" s="65" t="n">
        <v>33566</v>
      </c>
      <c r="D25" s="65" t="n">
        <v>44200</v>
      </c>
      <c r="E25" s="65" t="n">
        <v>35820</v>
      </c>
      <c r="F25" s="65" t="n">
        <v>38962</v>
      </c>
      <c r="G25" s="65" t="n">
        <v>44284</v>
      </c>
      <c r="H25" s="65" t="n">
        <v>48009</v>
      </c>
      <c r="I25" s="65" t="n">
        <v>52848</v>
      </c>
      <c r="J25" s="65" t="n">
        <v>59712</v>
      </c>
      <c r="K25" s="65" t="n">
        <v>67881</v>
      </c>
      <c r="L25" s="65" t="n">
        <v>76458</v>
      </c>
      <c r="M25" s="66">
        <f>(H25-G25)/G25</f>
        <v/>
      </c>
      <c r="N25" s="66">
        <f>(I25-H25)/H25</f>
        <v/>
      </c>
      <c r="O25" s="66">
        <f>(J25-I25)/I25</f>
        <v/>
      </c>
    </row>
    <row r="27" ht="8" customHeight="1"/>
    <row r="28" ht="18" customHeight="1">
      <c r="B28" s="6" t="inlineStr">
        <is>
          <t>THREE-SCENARIO REVENUE SUMMARY ($M)</t>
        </is>
      </c>
    </row>
    <row r="29" ht="20" customHeight="1">
      <c r="B29" s="11" t="inlineStr">
        <is>
          <t>Scenario</t>
        </is>
      </c>
      <c r="C29" s="11" t="inlineStr">
        <is>
          <t>FY2026E</t>
        </is>
      </c>
      <c r="D29" s="11" t="inlineStr">
        <is>
          <t>FY2027E</t>
        </is>
      </c>
      <c r="E29" s="11" t="inlineStr">
        <is>
          <t>FY2028E</t>
        </is>
      </c>
      <c r="F29" s="11" t="inlineStr">
        <is>
          <t>FY2029E</t>
        </is>
      </c>
      <c r="G29" s="11" t="inlineStr">
        <is>
          <t>FY2030E</t>
        </is>
      </c>
      <c r="H29" s="11" t="inlineStr">
        <is>
          <t>Key Driver</t>
        </is>
      </c>
      <c r="I29" s="67" t="n"/>
      <c r="J29" s="67" t="n"/>
      <c r="K29" s="67" t="n"/>
      <c r="L29" s="67" t="n"/>
      <c r="M29" s="67" t="n"/>
      <c r="N29" s="67" t="n"/>
      <c r="O29" s="68" t="n"/>
    </row>
    <row r="30" ht="24" customHeight="1">
      <c r="B30" s="69" t="inlineStr">
        <is>
          <t>BULL</t>
        </is>
      </c>
      <c r="C30" s="70" t="n">
        <v>45500</v>
      </c>
      <c r="D30" s="70" t="n">
        <v>50000</v>
      </c>
      <c r="E30" s="70" t="n">
        <v>58000</v>
      </c>
      <c r="F30" s="70" t="n">
        <v>67000</v>
      </c>
      <c r="G30" s="70" t="n">
        <v>74000</v>
      </c>
      <c r="H30" s="71" t="inlineStr">
        <is>
          <t>Apple modem retention + max auto ramp (50%+ CAGR) + PC inflection; Automotive &gt; $10B by FY29</t>
        </is>
      </c>
    </row>
    <row r="31" ht="24" customHeight="1">
      <c r="B31" s="72" t="inlineStr">
        <is>
          <t>BASE</t>
        </is>
      </c>
      <c r="C31" s="73" t="n">
        <v>48009</v>
      </c>
      <c r="D31" s="73" t="n">
        <v>52848</v>
      </c>
      <c r="E31" s="73" t="n">
        <v>59712</v>
      </c>
      <c r="F31" s="73" t="n">
        <v>67881</v>
      </c>
      <c r="G31" s="73" t="n">
        <v>76458</v>
      </c>
      <c r="H31" s="74" t="inlineStr">
        <is>
          <t>Apple exits by FY27 (-$6B); auto/IoT offset; consensus revenue trajectory ~flat to modest growth</t>
        </is>
      </c>
    </row>
    <row r="32" ht="24" customHeight="1">
      <c r="B32" s="75" t="inlineStr">
        <is>
          <t>BEAR</t>
        </is>
      </c>
      <c r="C32" s="76" t="n">
        <v>38000</v>
      </c>
      <c r="D32" s="76" t="n">
        <v>35000</v>
      </c>
      <c r="E32" s="76" t="n">
        <v>34000</v>
      </c>
      <c r="F32" s="76" t="n">
        <v>36000</v>
      </c>
      <c r="G32" s="76" t="n">
        <v>38000</v>
      </c>
      <c r="H32" s="77" t="inlineStr">
        <is>
          <t>Apple + MediaTek share loss; China geopolitical disruption; IoT/auto ramp delayed by 1–2 years</t>
        </is>
      </c>
    </row>
  </sheetData>
  <mergeCells count="16">
    <mergeCell ref="J7:O7"/>
    <mergeCell ref="H30:O30"/>
    <mergeCell ref="J10:O10"/>
    <mergeCell ref="H29:O29"/>
    <mergeCell ref="B2:O2"/>
    <mergeCell ref="B15:O15"/>
    <mergeCell ref="H32:O32"/>
    <mergeCell ref="C6"/>
    <mergeCell ref="B3:O3"/>
    <mergeCell ref="B5:O5"/>
    <mergeCell ref="J9:O9"/>
    <mergeCell ref="J8:O8"/>
    <mergeCell ref="J11:O11"/>
    <mergeCell ref="J12:O12"/>
    <mergeCell ref="B28:H28"/>
    <mergeCell ref="H31:O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30" customHeight="1">
      <c r="B2" s="1" t="inlineStr">
        <is>
          <t>QUALCOMM (QCOM) — INCOME STATEMENT ($M) | FY2021–FY2030E</t>
        </is>
      </c>
    </row>
    <row r="3" ht="16" customHeight="1">
      <c r="B3" s="2" t="inlineStr">
        <is>
          <t>Historical: actual GAAP | Projected: Base Case (Non-GAAP adj. where noted)</t>
        </is>
      </c>
    </row>
    <row r="5" ht="20" customHeight="1">
      <c r="B5" s="11" t="inlineStr">
        <is>
          <t>P&amp;L Line Item ($M)</t>
        </is>
      </c>
      <c r="C5" s="11" t="inlineStr">
        <is>
          <t>FY2021A</t>
        </is>
      </c>
      <c r="D5" s="11" t="inlineStr">
        <is>
          <t>FY2022A</t>
        </is>
      </c>
      <c r="E5" s="11" t="inlineStr">
        <is>
          <t>FY2023A</t>
        </is>
      </c>
      <c r="F5" s="11" t="inlineStr">
        <is>
          <t>FY2024A</t>
        </is>
      </c>
      <c r="G5" s="11" t="inlineStr">
        <is>
          <t>FY2025A</t>
        </is>
      </c>
      <c r="H5" s="11" t="inlineStr">
        <is>
          <t>FY2026E</t>
        </is>
      </c>
      <c r="I5" s="11" t="inlineStr">
        <is>
          <t>FY2027E</t>
        </is>
      </c>
      <c r="J5" s="11" t="inlineStr">
        <is>
          <t>FY2028E</t>
        </is>
      </c>
      <c r="K5" s="11" t="inlineStr">
        <is>
          <t>FY2029E</t>
        </is>
      </c>
      <c r="L5" s="11" t="inlineStr">
        <is>
          <t>FY2030E</t>
        </is>
      </c>
    </row>
    <row r="6" ht="15" customHeight="1">
      <c r="B6" s="78" t="inlineStr">
        <is>
          <t>Revenue</t>
        </is>
      </c>
      <c r="C6" s="65" t="n">
        <v>33566</v>
      </c>
      <c r="D6" s="65" t="n">
        <v>44200</v>
      </c>
      <c r="E6" s="65" t="n">
        <v>35820</v>
      </c>
      <c r="F6" s="65" t="n">
        <v>38962</v>
      </c>
      <c r="G6" s="65" t="n">
        <v>44284</v>
      </c>
      <c r="H6" s="79" t="n">
        <v>48009</v>
      </c>
      <c r="I6" s="79" t="n">
        <v>52848</v>
      </c>
      <c r="J6" s="79" t="n">
        <v>59712</v>
      </c>
      <c r="K6" s="79" t="n">
        <v>67881</v>
      </c>
      <c r="L6" s="79" t="n">
        <v>76458</v>
      </c>
      <c r="M6" s="79" t="n">
        <v>84103</v>
      </c>
    </row>
    <row r="7" ht="15" customHeight="1">
      <c r="B7" s="14" t="inlineStr">
        <is>
          <t xml:space="preserve">  Cost of Revenue</t>
        </is>
      </c>
      <c r="C7" s="80" t="n">
        <v>14262</v>
      </c>
      <c r="D7" s="80" t="n">
        <v>18635</v>
      </c>
      <c r="E7" s="80" t="n">
        <v>15869</v>
      </c>
      <c r="F7" s="80" t="n">
        <v>17060</v>
      </c>
      <c r="G7" s="80" t="n">
        <v>19738</v>
      </c>
      <c r="H7" s="81" t="n">
        <v>21604</v>
      </c>
      <c r="I7" s="81" t="n">
        <v>23781</v>
      </c>
      <c r="J7" s="81" t="n">
        <v>26870</v>
      </c>
      <c r="K7" s="81" t="n">
        <v>30546</v>
      </c>
      <c r="L7" s="81" t="n">
        <v>34406</v>
      </c>
    </row>
    <row r="8" ht="15" customHeight="1">
      <c r="B8" s="61" t="inlineStr">
        <is>
          <t>Gross Profit</t>
        </is>
      </c>
      <c r="C8" s="62" t="n">
        <v>19304</v>
      </c>
      <c r="D8" s="62" t="n">
        <v>25565</v>
      </c>
      <c r="E8" s="62" t="n">
        <v>19951</v>
      </c>
      <c r="F8" s="62" t="n">
        <v>21902</v>
      </c>
      <c r="G8" s="62" t="n">
        <v>24546</v>
      </c>
      <c r="H8" s="82" t="n">
        <v>26405</v>
      </c>
      <c r="I8" s="82" t="n">
        <v>29067</v>
      </c>
      <c r="J8" s="82" t="n">
        <v>32842</v>
      </c>
      <c r="K8" s="82" t="n">
        <v>37335</v>
      </c>
      <c r="L8" s="82" t="n">
        <v>42052</v>
      </c>
    </row>
    <row r="9" ht="15" customHeight="1">
      <c r="B9" s="14" t="inlineStr">
        <is>
          <t xml:space="preserve">  Gross Margin %</t>
        </is>
      </c>
      <c r="C9" s="83" t="n">
        <v>0.5751057617827564</v>
      </c>
      <c r="D9" s="83" t="n">
        <v>0.5783936651583711</v>
      </c>
      <c r="E9" s="83" t="n">
        <v>0.5569793411501954</v>
      </c>
      <c r="F9" s="83" t="n">
        <v>0.5621374672758072</v>
      </c>
      <c r="G9" s="83" t="n">
        <v>0.5542859723602204</v>
      </c>
      <c r="H9" s="84" t="n">
        <v>0.5500010414713907</v>
      </c>
      <c r="I9" s="84" t="n">
        <v>0.550011353315168</v>
      </c>
      <c r="J9" s="84" t="n">
        <v>0.5500066988210075</v>
      </c>
      <c r="K9" s="84" t="n">
        <v>0.5500066292482433</v>
      </c>
      <c r="L9" s="84" t="n">
        <v>0.5500013079076094</v>
      </c>
    </row>
    <row r="10" ht="15" customHeight="1">
      <c r="B10" s="17" t="inlineStr">
        <is>
          <t xml:space="preserve">  R&amp;D Expense</t>
        </is>
      </c>
      <c r="C10" s="85" t="n">
        <v>7176</v>
      </c>
      <c r="D10" s="85" t="n">
        <v>8194</v>
      </c>
      <c r="E10" s="85" t="n">
        <v>8818</v>
      </c>
      <c r="F10" s="85" t="n">
        <v>8893</v>
      </c>
      <c r="G10" s="85" t="n">
        <v>9042</v>
      </c>
      <c r="H10" s="86" t="n">
        <v>10465</v>
      </c>
      <c r="I10" s="86" t="n">
        <v>11520</v>
      </c>
      <c r="J10" s="86" t="n">
        <v>13017</v>
      </c>
      <c r="K10" s="86" t="n">
        <v>14798</v>
      </c>
      <c r="L10" s="86" t="n">
        <v>16667</v>
      </c>
    </row>
    <row r="11" ht="15" customHeight="1">
      <c r="B11" s="14" t="inlineStr">
        <is>
          <t xml:space="preserve">  SG&amp;A Expense</t>
        </is>
      </c>
      <c r="C11" s="80" t="n">
        <v>2339</v>
      </c>
      <c r="D11" s="80" t="n">
        <v>2570</v>
      </c>
      <c r="E11" s="80" t="n">
        <v>2483</v>
      </c>
      <c r="F11" s="80" t="n">
        <v>2759</v>
      </c>
      <c r="G11" s="80" t="n">
        <v>3110</v>
      </c>
      <c r="H11" s="81" t="n">
        <v>3456</v>
      </c>
      <c r="I11" s="81" t="n">
        <v>3805</v>
      </c>
      <c r="J11" s="81" t="n">
        <v>4299</v>
      </c>
      <c r="K11" s="81" t="n">
        <v>4887</v>
      </c>
      <c r="L11" s="81" t="n">
        <v>5504</v>
      </c>
    </row>
    <row r="12" ht="15" customHeight="1">
      <c r="B12" s="61" t="inlineStr">
        <is>
          <t>Operating Income (EBIT)</t>
        </is>
      </c>
      <c r="C12" s="62" t="n">
        <v>9789</v>
      </c>
      <c r="D12" s="62" t="n">
        <v>15860</v>
      </c>
      <c r="E12" s="62" t="n">
        <v>7788</v>
      </c>
      <c r="F12" s="62" t="n">
        <v>10071</v>
      </c>
      <c r="G12" s="62" t="n">
        <v>12355</v>
      </c>
      <c r="H12" s="82" t="n">
        <v>12484</v>
      </c>
      <c r="I12" s="82" t="n">
        <v>13742</v>
      </c>
      <c r="J12" s="82" t="n">
        <v>15526</v>
      </c>
      <c r="K12" s="82" t="n">
        <v>17650</v>
      </c>
      <c r="L12" s="82" t="n">
        <v>19881</v>
      </c>
    </row>
    <row r="13" ht="15" customHeight="1">
      <c r="B13" s="14" t="inlineStr">
        <is>
          <t xml:space="preserve">  Operating Margin %</t>
        </is>
      </c>
      <c r="C13" s="83" t="n">
        <v>0.2916343919442293</v>
      </c>
      <c r="D13" s="83" t="n">
        <v>0.3588235294117647</v>
      </c>
      <c r="E13" s="83" t="n">
        <v>0.2174204355108878</v>
      </c>
      <c r="F13" s="83" t="n">
        <v>0.2584826240952723</v>
      </c>
      <c r="G13" s="83" t="n">
        <v>0.2789946707614488</v>
      </c>
      <c r="H13" s="84" t="n">
        <v>0.2600345768501739</v>
      </c>
      <c r="I13" s="84" t="n">
        <v>0.260028761731759</v>
      </c>
      <c r="J13" s="84" t="n">
        <v>0.2600147374062165</v>
      </c>
      <c r="K13" s="84" t="n">
        <v>0.260013847762997</v>
      </c>
      <c r="L13" s="84" t="n">
        <v>0.2600251118261006</v>
      </c>
    </row>
    <row r="14" ht="15" customHeight="1">
      <c r="B14" s="17" t="inlineStr">
        <is>
          <t xml:space="preserve">  D&amp;A</t>
        </is>
      </c>
      <c r="C14" s="87" t="n">
        <v>1582</v>
      </c>
      <c r="D14" s="87" t="n">
        <v>1762</v>
      </c>
      <c r="E14" s="87" t="n">
        <v>1809</v>
      </c>
      <c r="F14" s="87" t="n">
        <v>1706</v>
      </c>
      <c r="G14" s="87" t="n">
        <v>1602</v>
      </c>
      <c r="H14" s="88" t="n">
        <v>1728</v>
      </c>
      <c r="I14" s="88" t="n">
        <v>1902</v>
      </c>
      <c r="J14" s="88" t="n">
        <v>2149</v>
      </c>
      <c r="K14" s="88" t="n">
        <v>2443</v>
      </c>
      <c r="L14" s="88" t="n">
        <v>2752</v>
      </c>
    </row>
    <row r="15" ht="15" customHeight="1">
      <c r="B15" s="61" t="inlineStr">
        <is>
          <t>EBITDA</t>
        </is>
      </c>
      <c r="C15" s="62" t="n">
        <v>11371</v>
      </c>
      <c r="D15" s="62" t="n">
        <v>17250</v>
      </c>
      <c r="E15" s="62" t="n">
        <v>9946</v>
      </c>
      <c r="F15" s="62" t="n">
        <v>12739</v>
      </c>
      <c r="G15" s="62" t="n">
        <v>14929</v>
      </c>
      <c r="H15" s="82" t="n">
        <v>14212</v>
      </c>
      <c r="I15" s="82" t="n">
        <v>15644</v>
      </c>
      <c r="J15" s="82" t="n">
        <v>17675</v>
      </c>
      <c r="K15" s="82" t="n">
        <v>20093</v>
      </c>
      <c r="L15" s="82" t="n">
        <v>22633</v>
      </c>
    </row>
    <row r="16" ht="15" customHeight="1">
      <c r="B16" s="17" t="inlineStr">
        <is>
          <t xml:space="preserve">  EBITDA Margin %</t>
        </is>
      </c>
      <c r="C16" s="89" t="n">
        <v>0.3387654173866412</v>
      </c>
      <c r="D16" s="89" t="n">
        <v>0.3902714932126697</v>
      </c>
      <c r="E16" s="89" t="n">
        <v>0.2776661083193747</v>
      </c>
      <c r="F16" s="89" t="n">
        <v>0.326959601663159</v>
      </c>
      <c r="G16" s="89" t="n">
        <v>0.3371195014000542</v>
      </c>
      <c r="H16" s="90" t="n">
        <v>0.2960278281155617</v>
      </c>
      <c r="I16" s="90" t="n">
        <v>0.2960187708144111</v>
      </c>
      <c r="J16" s="90" t="n">
        <v>0.2960041532690246</v>
      </c>
      <c r="K16" s="90" t="n">
        <v>0.2960032998924589</v>
      </c>
      <c r="L16" s="90" t="n">
        <v>0.2960187292369667</v>
      </c>
    </row>
    <row r="17" ht="15" customHeight="1">
      <c r="B17" s="14" t="inlineStr">
        <is>
          <t xml:space="preserve">  Interest Expense</t>
        </is>
      </c>
      <c r="C17" s="80" t="n">
        <v>559</v>
      </c>
      <c r="D17" s="80" t="n">
        <v>490</v>
      </c>
      <c r="E17" s="80" t="n">
        <v>694</v>
      </c>
      <c r="F17" s="80" t="n">
        <v>697</v>
      </c>
      <c r="G17" s="80" t="n">
        <v>664</v>
      </c>
      <c r="H17" s="81" t="n">
        <v>700</v>
      </c>
      <c r="I17" s="81" t="n">
        <v>700</v>
      </c>
      <c r="J17" s="81" t="n">
        <v>700</v>
      </c>
      <c r="K17" s="81" t="n">
        <v>700</v>
      </c>
      <c r="L17" s="81" t="n">
        <v>700</v>
      </c>
    </row>
    <row r="18" ht="15" customHeight="1">
      <c r="B18" s="17" t="inlineStr">
        <is>
          <t>Income Before Tax</t>
        </is>
      </c>
      <c r="C18" s="87" t="n">
        <v>10274</v>
      </c>
      <c r="D18" s="87" t="n">
        <v>14998</v>
      </c>
      <c r="E18" s="87" t="n">
        <v>7443</v>
      </c>
      <c r="F18" s="87" t="n">
        <v>10336</v>
      </c>
      <c r="G18" s="87" t="n">
        <v>12663</v>
      </c>
      <c r="H18" s="88" t="n">
        <v>11884</v>
      </c>
      <c r="I18" s="88" t="n">
        <v>13142</v>
      </c>
      <c r="J18" s="88" t="n">
        <v>14926</v>
      </c>
      <c r="K18" s="88" t="n">
        <v>17050</v>
      </c>
      <c r="L18" s="88" t="n">
        <v>19281</v>
      </c>
    </row>
    <row r="19" ht="15" customHeight="1">
      <c r="B19" s="14" t="inlineStr">
        <is>
          <t xml:space="preserve">  Income Tax</t>
        </is>
      </c>
      <c r="C19" s="80" t="n">
        <v>1231</v>
      </c>
      <c r="D19" s="80" t="n">
        <v>2012</v>
      </c>
      <c r="E19" s="80" t="n">
        <v>104</v>
      </c>
      <c r="F19" s="80" t="n">
        <v>226</v>
      </c>
      <c r="G19" s="80" t="n">
        <v>7122</v>
      </c>
      <c r="H19" s="81" t="n">
        <v>1544</v>
      </c>
      <c r="I19" s="81" t="n">
        <v>1708</v>
      </c>
      <c r="J19" s="81" t="n">
        <v>1940</v>
      </c>
      <c r="K19" s="81" t="n">
        <v>2216</v>
      </c>
      <c r="L19" s="81" t="n">
        <v>2506</v>
      </c>
    </row>
    <row r="20" ht="15" customHeight="1">
      <c r="B20" s="61" t="inlineStr">
        <is>
          <t>Net Income (GAAP)</t>
        </is>
      </c>
      <c r="C20" s="62" t="n">
        <v>9043</v>
      </c>
      <c r="D20" s="62" t="n">
        <v>12936</v>
      </c>
      <c r="E20" s="62" t="n">
        <v>7232</v>
      </c>
      <c r="F20" s="62" t="n">
        <v>10110</v>
      </c>
      <c r="G20" s="62" t="n">
        <v>5541</v>
      </c>
      <c r="H20" s="82" t="n">
        <v>10340</v>
      </c>
      <c r="I20" s="82" t="n">
        <v>11434</v>
      </c>
      <c r="J20" s="82" t="n">
        <v>12986</v>
      </c>
      <c r="K20" s="82" t="n">
        <v>14834</v>
      </c>
      <c r="L20" s="82" t="n">
        <v>16775</v>
      </c>
    </row>
    <row r="21" ht="15" customHeight="1">
      <c r="B21" s="14" t="inlineStr">
        <is>
          <t xml:space="preserve">  Net Margin %</t>
        </is>
      </c>
      <c r="C21" s="83" t="n">
        <v>0.2694095215396532</v>
      </c>
      <c r="D21" s="83" t="n">
        <v>0.2926696832579185</v>
      </c>
      <c r="E21" s="83" t="n">
        <v>0.2018983807928532</v>
      </c>
      <c r="F21" s="83" t="n">
        <v>0.259483599404548</v>
      </c>
      <c r="G21" s="83" t="n">
        <v>0.1251241983560654</v>
      </c>
      <c r="H21" s="84" t="n">
        <v>0.2153762836134892</v>
      </c>
      <c r="I21" s="84" t="n">
        <v>0.2163563427187405</v>
      </c>
      <c r="J21" s="84" t="n">
        <v>0.2174772240085745</v>
      </c>
      <c r="K21" s="84" t="n">
        <v>0.2185294854230197</v>
      </c>
      <c r="L21" s="84" t="n">
        <v>0.2194015014779356</v>
      </c>
    </row>
    <row r="22" ht="15" customHeight="1">
      <c r="B22" s="17" t="inlineStr">
        <is>
          <t>Adj. EPS (Non-GAAP)</t>
        </is>
      </c>
      <c r="C22" s="91" t="n">
        <v>8.539999999999999</v>
      </c>
      <c r="D22" s="91" t="n">
        <v>12.53</v>
      </c>
      <c r="E22" s="91" t="n">
        <v>8.43</v>
      </c>
      <c r="F22" s="91" t="n">
        <v>10.22</v>
      </c>
      <c r="G22" s="91" t="n">
        <v>12.03</v>
      </c>
      <c r="H22" s="92" t="n">
        <v>11.01018518518518</v>
      </c>
      <c r="I22" s="92" t="n">
        <v>12.40481132075472</v>
      </c>
      <c r="J22" s="92" t="n">
        <v>14.35951923076923</v>
      </c>
      <c r="K22" s="92" t="n">
        <v>16.72460784313725</v>
      </c>
      <c r="L22" s="92" t="n">
        <v>19.29125</v>
      </c>
    </row>
    <row r="23" ht="15" customHeight="1">
      <c r="B23" s="14" t="inlineStr">
        <is>
          <t>Diluted Shares Outstanding (M)</t>
        </is>
      </c>
      <c r="C23" s="93" t="n">
        <v>1149</v>
      </c>
      <c r="D23" s="93" t="n">
        <v>1137</v>
      </c>
      <c r="E23" s="93" t="n">
        <v>1126</v>
      </c>
      <c r="F23" s="93" t="n">
        <v>1130</v>
      </c>
      <c r="G23" s="93" t="n">
        <v>1105</v>
      </c>
      <c r="H23" s="94" t="n">
        <v>1080</v>
      </c>
      <c r="I23" s="94" t="n">
        <v>1060</v>
      </c>
      <c r="J23" s="94" t="n">
        <v>1040</v>
      </c>
      <c r="K23" s="94" t="n">
        <v>1020</v>
      </c>
      <c r="L23" s="94" t="n">
        <v>1000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30" customHeight="1">
      <c r="B2" s="1" t="inlineStr">
        <is>
          <t>QUALCOMM (QCOM) — BALANCE SHEET ($M) | FY2021–FY2025</t>
        </is>
      </c>
    </row>
    <row r="3" ht="16" customHeight="1">
      <c r="B3" s="2" t="inlineStr">
        <is>
          <t>Historical GAAP | Fiscal year ends in late September</t>
        </is>
      </c>
    </row>
    <row r="5" ht="20" customHeight="1">
      <c r="B5" s="11" t="inlineStr">
        <is>
          <t>Balance Sheet Item ($M)</t>
        </is>
      </c>
      <c r="C5" s="11" t="inlineStr">
        <is>
          <t>FY2021A</t>
        </is>
      </c>
      <c r="D5" s="11" t="inlineStr">
        <is>
          <t>FY2022A</t>
        </is>
      </c>
      <c r="E5" s="11" t="inlineStr">
        <is>
          <t>FY2023A</t>
        </is>
      </c>
      <c r="F5" s="11" t="inlineStr">
        <is>
          <t>FY2024A</t>
        </is>
      </c>
      <c r="G5" s="11" t="inlineStr">
        <is>
          <t>FY2025A</t>
        </is>
      </c>
    </row>
    <row r="6" ht="18" customHeight="1">
      <c r="B6" s="6" t="inlineStr">
        <is>
          <t>ASSETS</t>
        </is>
      </c>
    </row>
    <row r="7" ht="15" customHeight="1">
      <c r="B7" s="14" t="inlineStr">
        <is>
          <t xml:space="preserve">    Cash &amp; Cash Equivalents</t>
        </is>
      </c>
      <c r="C7" s="93" t="n">
        <v>7116</v>
      </c>
      <c r="D7" s="93" t="n">
        <v>2773</v>
      </c>
      <c r="E7" s="93" t="n">
        <v>8450</v>
      </c>
      <c r="F7" s="93" t="n">
        <v>7849</v>
      </c>
      <c r="G7" s="93" t="n">
        <v>7843</v>
      </c>
    </row>
    <row r="8" ht="15" customHeight="1">
      <c r="B8" s="17" t="inlineStr">
        <is>
          <t xml:space="preserve">    Short-Term Investments</t>
        </is>
      </c>
      <c r="C8" s="87" t="n">
        <v>5298</v>
      </c>
      <c r="D8" s="87" t="n">
        <v>3609</v>
      </c>
      <c r="E8" s="87" t="n">
        <v>2874</v>
      </c>
      <c r="F8" s="87" t="n">
        <v>5451</v>
      </c>
      <c r="G8" s="87" t="n">
        <v>4635</v>
      </c>
    </row>
    <row r="9" ht="15" customHeight="1">
      <c r="B9" s="14" t="inlineStr">
        <is>
          <t xml:space="preserve">    Net Receivables</t>
        </is>
      </c>
      <c r="C9" s="93" t="n">
        <v>3579</v>
      </c>
      <c r="D9" s="93" t="n">
        <v>5643</v>
      </c>
      <c r="E9" s="93" t="n">
        <v>3183</v>
      </c>
      <c r="F9" s="93" t="n">
        <v>3929</v>
      </c>
      <c r="G9" s="93" t="n">
        <v>4315</v>
      </c>
    </row>
    <row r="10" ht="15" customHeight="1">
      <c r="B10" s="17" t="inlineStr">
        <is>
          <t xml:space="preserve">    Inventory</t>
        </is>
      </c>
      <c r="C10" s="87" t="n">
        <v>3228</v>
      </c>
      <c r="D10" s="87" t="n">
        <v>7042</v>
      </c>
      <c r="E10" s="87" t="n">
        <v>6422</v>
      </c>
      <c r="F10" s="87" t="n">
        <v>6423</v>
      </c>
      <c r="G10" s="87" t="n">
        <v>8026</v>
      </c>
    </row>
    <row r="11" ht="15" customHeight="1">
      <c r="B11" s="14" t="inlineStr">
        <is>
          <t xml:space="preserve">    Other Current Assets</t>
        </is>
      </c>
      <c r="C11" s="93" t="n">
        <v>854</v>
      </c>
      <c r="D11" s="93" t="n">
        <v>1657</v>
      </c>
      <c r="E11" s="93" t="n">
        <v>1535</v>
      </c>
      <c r="F11" s="93" t="n">
        <v>1579</v>
      </c>
      <c r="G11" s="93" t="n">
        <v>935</v>
      </c>
    </row>
    <row r="12" ht="15" customHeight="1">
      <c r="B12" s="78" t="inlineStr">
        <is>
          <t>Total Current Assets</t>
        </is>
      </c>
      <c r="C12" s="65" t="n">
        <v>20075</v>
      </c>
      <c r="D12" s="65" t="n">
        <v>20724</v>
      </c>
      <c r="E12" s="65" t="n">
        <v>22464</v>
      </c>
      <c r="F12" s="65" t="n">
        <v>25231</v>
      </c>
      <c r="G12" s="65" t="n">
        <v>25754</v>
      </c>
    </row>
    <row r="13" ht="15" customHeight="1">
      <c r="B13" s="14" t="inlineStr">
        <is>
          <t xml:space="preserve">    Property, Plant &amp; Equipment (net)</t>
        </is>
      </c>
      <c r="C13" s="93" t="n">
        <v>4559</v>
      </c>
      <c r="D13" s="93" t="n">
        <v>5168</v>
      </c>
      <c r="E13" s="93" t="n">
        <v>5042</v>
      </c>
      <c r="F13" s="93" t="n">
        <v>4665</v>
      </c>
      <c r="G13" s="93" t="n">
        <v>4690</v>
      </c>
    </row>
    <row r="14" ht="15" customHeight="1">
      <c r="B14" s="17" t="inlineStr">
        <is>
          <t xml:space="preserve">    Goodwill &amp; Intangibles</t>
        </is>
      </c>
      <c r="C14" s="87" t="n">
        <v>8704</v>
      </c>
      <c r="D14" s="87" t="n">
        <v>12390</v>
      </c>
      <c r="E14" s="87" t="n">
        <v>12050</v>
      </c>
      <c r="F14" s="87" t="n">
        <v>12043</v>
      </c>
      <c r="G14" s="87" t="n">
        <v>12506</v>
      </c>
    </row>
    <row r="15" ht="15" customHeight="1">
      <c r="B15" s="14" t="inlineStr">
        <is>
          <t xml:space="preserve">    Long-Term Investments &amp; Other</t>
        </is>
      </c>
      <c r="C15" s="93" t="n">
        <v>7902</v>
      </c>
      <c r="D15" s="93" t="n">
        <v>10732</v>
      </c>
      <c r="E15" s="93" t="n">
        <v>11064</v>
      </c>
      <c r="F15" s="93" t="n">
        <v>13215</v>
      </c>
      <c r="G15" s="93" t="n">
        <v>7193</v>
      </c>
    </row>
    <row r="16" ht="15" customHeight="1">
      <c r="B16" s="78" t="inlineStr">
        <is>
          <t>Total Non-Current Assets</t>
        </is>
      </c>
      <c r="C16" s="65" t="n">
        <v>21165</v>
      </c>
      <c r="D16" s="65" t="n">
        <v>28290</v>
      </c>
      <c r="E16" s="65" t="n">
        <v>28576</v>
      </c>
      <c r="F16" s="65" t="n">
        <v>29923</v>
      </c>
      <c r="G16" s="65" t="n">
        <v>24389</v>
      </c>
    </row>
    <row r="17" ht="15" customHeight="1">
      <c r="B17" s="78" t="inlineStr">
        <is>
          <t>TOTAL ASSETS</t>
        </is>
      </c>
      <c r="C17" s="65" t="n">
        <v>41240</v>
      </c>
      <c r="D17" s="65" t="n">
        <v>49014</v>
      </c>
      <c r="E17" s="65" t="n">
        <v>51040</v>
      </c>
      <c r="F17" s="65" t="n">
        <v>55154</v>
      </c>
      <c r="G17" s="65" t="n">
        <v>50143</v>
      </c>
    </row>
    <row r="18" ht="18" customHeight="1">
      <c r="B18" s="6" t="inlineStr">
        <is>
          <t>LIABILITIES &amp; EQUITY</t>
        </is>
      </c>
    </row>
    <row r="19" ht="15" customHeight="1">
      <c r="B19" s="14" t="inlineStr">
        <is>
          <t xml:space="preserve">    Short-Term Debt</t>
        </is>
      </c>
      <c r="C19" s="93" t="n">
        <v>2044</v>
      </c>
      <c r="D19" s="93" t="n">
        <v>1945</v>
      </c>
      <c r="E19" s="93" t="n">
        <v>1012</v>
      </c>
      <c r="F19" s="93" t="n">
        <v>1364</v>
      </c>
      <c r="G19" s="93" t="n">
        <v>102</v>
      </c>
    </row>
    <row r="20" ht="15" customHeight="1">
      <c r="B20" s="17" t="inlineStr">
        <is>
          <t xml:space="preserve">    Accounts Payable</t>
        </is>
      </c>
      <c r="C20" s="87" t="n">
        <v>4023</v>
      </c>
      <c r="D20" s="87" t="n">
        <v>5097</v>
      </c>
      <c r="E20" s="87" t="n">
        <v>3774</v>
      </c>
      <c r="F20" s="87" t="n">
        <v>4499</v>
      </c>
      <c r="G20" s="87" t="n">
        <v>4348</v>
      </c>
    </row>
    <row r="21" ht="15" customHeight="1">
      <c r="B21" s="14" t="inlineStr">
        <is>
          <t xml:space="preserve">    Other Current Liabilities</t>
        </is>
      </c>
      <c r="C21" s="93" t="n">
        <v>5884</v>
      </c>
      <c r="D21" s="93" t="n">
        <v>4824</v>
      </c>
      <c r="E21" s="93" t="n">
        <v>4842</v>
      </c>
      <c r="F21" s="93" t="n">
        <v>4641</v>
      </c>
      <c r="G21" s="93" t="n">
        <v>4694</v>
      </c>
    </row>
    <row r="22" ht="15" customHeight="1">
      <c r="B22" s="78" t="inlineStr">
        <is>
          <t>Total Current Liabilities</t>
        </is>
      </c>
      <c r="C22" s="65" t="n">
        <v>11951</v>
      </c>
      <c r="D22" s="65" t="n">
        <v>11866</v>
      </c>
      <c r="E22" s="65" t="n">
        <v>9628</v>
      </c>
      <c r="F22" s="65" t="n">
        <v>10504</v>
      </c>
      <c r="G22" s="65" t="n">
        <v>9144</v>
      </c>
    </row>
    <row r="23" ht="15" customHeight="1">
      <c r="B23" s="14" t="inlineStr">
        <is>
          <t xml:space="preserve">    Long-Term Debt</t>
        </is>
      </c>
      <c r="C23" s="93" t="n">
        <v>13701</v>
      </c>
      <c r="D23" s="93" t="n">
        <v>13537</v>
      </c>
      <c r="E23" s="93" t="n">
        <v>14484</v>
      </c>
      <c r="F23" s="93" t="n">
        <v>13270</v>
      </c>
      <c r="G23" s="93" t="n">
        <v>15541</v>
      </c>
    </row>
    <row r="24" ht="15" customHeight="1">
      <c r="B24" s="17" t="inlineStr">
        <is>
          <t xml:space="preserve">    Deferred &amp; Other Non-Current</t>
        </is>
      </c>
      <c r="C24" s="87" t="n">
        <v>5638</v>
      </c>
      <c r="D24" s="87" t="n">
        <v>5598</v>
      </c>
      <c r="E24" s="87" t="n">
        <v>5347</v>
      </c>
      <c r="F24" s="87" t="n">
        <v>5106</v>
      </c>
      <c r="G24" s="87" t="n">
        <v>4252</v>
      </c>
    </row>
    <row r="25" ht="15" customHeight="1">
      <c r="B25" s="78" t="inlineStr">
        <is>
          <t>Total Non-Current Liabilities</t>
        </is>
      </c>
      <c r="C25" s="65" t="n">
        <v>19339</v>
      </c>
      <c r="D25" s="65" t="n">
        <v>19135</v>
      </c>
      <c r="E25" s="65" t="n">
        <v>19831</v>
      </c>
      <c r="F25" s="65" t="n">
        <v>18376</v>
      </c>
      <c r="G25" s="65" t="n">
        <v>19793</v>
      </c>
    </row>
    <row r="26" ht="15" customHeight="1">
      <c r="B26" s="78" t="inlineStr">
        <is>
          <t>TOTAL LIABILITIES</t>
        </is>
      </c>
      <c r="C26" s="65" t="n">
        <v>31290</v>
      </c>
      <c r="D26" s="65" t="n">
        <v>31001</v>
      </c>
      <c r="E26" s="65" t="n">
        <v>29459</v>
      </c>
      <c r="F26" s="65" t="n">
        <v>28880</v>
      </c>
      <c r="G26" s="65" t="n">
        <v>28937</v>
      </c>
    </row>
    <row r="27" ht="15" customHeight="1">
      <c r="B27" s="14" t="inlineStr">
        <is>
          <t xml:space="preserve">    Common Stock &amp; APIC</t>
        </is>
      </c>
      <c r="C27" s="93" t="n">
        <v>0</v>
      </c>
      <c r="D27" s="93" t="n">
        <v>195</v>
      </c>
      <c r="E27" s="93" t="n">
        <v>490</v>
      </c>
      <c r="F27" s="93" t="n">
        <v>0</v>
      </c>
      <c r="G27" s="93" t="n">
        <v>0</v>
      </c>
    </row>
    <row r="28" ht="15" customHeight="1">
      <c r="B28" s="17" t="inlineStr">
        <is>
          <t xml:space="preserve">    Retained Earnings</t>
        </is>
      </c>
      <c r="C28" s="87" t="n">
        <v>9822</v>
      </c>
      <c r="D28" s="87" t="n">
        <v>17840</v>
      </c>
      <c r="E28" s="87" t="n">
        <v>20733</v>
      </c>
      <c r="F28" s="87" t="n">
        <v>25687</v>
      </c>
      <c r="G28" s="87" t="n">
        <v>20646</v>
      </c>
    </row>
    <row r="29" ht="15" customHeight="1">
      <c r="B29" s="14" t="inlineStr">
        <is>
          <t xml:space="preserve">    AOCI &amp; Other</t>
        </is>
      </c>
      <c r="C29" s="93" t="n">
        <v>128</v>
      </c>
      <c r="D29" s="93" t="n">
        <v>-22</v>
      </c>
      <c r="E29" s="93" t="n">
        <v>-182</v>
      </c>
      <c r="F29" s="93" t="n">
        <v>587</v>
      </c>
      <c r="G29" s="93" t="n">
        <v>560</v>
      </c>
    </row>
    <row r="30" ht="15" customHeight="1">
      <c r="B30" s="78" t="inlineStr">
        <is>
          <t>TOTAL SHAREHOLDERS' EQUITY</t>
        </is>
      </c>
      <c r="C30" s="65" t="n">
        <v>9950</v>
      </c>
      <c r="D30" s="65" t="n">
        <v>18013</v>
      </c>
      <c r="E30" s="65" t="n">
        <v>21581</v>
      </c>
      <c r="F30" s="65" t="n">
        <v>26274</v>
      </c>
      <c r="G30" s="65" t="n">
        <v>21206</v>
      </c>
    </row>
    <row r="31" ht="15" customHeight="1">
      <c r="B31" s="78" t="inlineStr">
        <is>
          <t>TOTAL LIABILITIES &amp; EQUITY</t>
        </is>
      </c>
      <c r="C31" s="65" t="n">
        <v>41240</v>
      </c>
      <c r="D31" s="65" t="n">
        <v>49014</v>
      </c>
      <c r="E31" s="65" t="n">
        <v>51040</v>
      </c>
      <c r="F31" s="65" t="n">
        <v>55154</v>
      </c>
      <c r="G31" s="65" t="n">
        <v>50143</v>
      </c>
    </row>
    <row r="32" ht="8" customHeight="1"/>
    <row r="33" ht="18" customHeight="1">
      <c r="B33" s="6" t="inlineStr">
        <is>
          <t>KEY BALANCE SHEET RATIOS &amp; LEVERAGE METRICS</t>
        </is>
      </c>
    </row>
    <row r="34" ht="20" customHeight="1">
      <c r="B34" s="11" t="inlineStr">
        <is>
          <t>Ratio</t>
        </is>
      </c>
      <c r="C34" s="11" t="inlineStr">
        <is>
          <t>FY2021A</t>
        </is>
      </c>
      <c r="D34" s="11" t="inlineStr">
        <is>
          <t>FY2022A</t>
        </is>
      </c>
      <c r="E34" s="11" t="inlineStr">
        <is>
          <t>FY2023A</t>
        </is>
      </c>
      <c r="F34" s="11" t="inlineStr">
        <is>
          <t>FY2024A</t>
        </is>
      </c>
      <c r="G34" s="11" t="inlineStr">
        <is>
          <t>FY2025A</t>
        </is>
      </c>
    </row>
    <row r="35" ht="15" customHeight="1">
      <c r="B35" s="14" t="inlineStr">
        <is>
          <t>Current Ratio</t>
        </is>
      </c>
      <c r="C35" s="95" t="n">
        <v>1.679775750983181</v>
      </c>
      <c r="D35" s="95" t="n">
        <v>1.746502612506321</v>
      </c>
      <c r="E35" s="95" t="n">
        <v>2.333194848358953</v>
      </c>
      <c r="F35" s="95" t="n">
        <v>2.402037319116527</v>
      </c>
      <c r="G35" s="95" t="n">
        <v>2.816491688538933</v>
      </c>
    </row>
    <row r="36" ht="15" customHeight="1">
      <c r="B36" s="17" t="inlineStr">
        <is>
          <t>Quick Ratio</t>
        </is>
      </c>
      <c r="C36" s="96" t="n">
        <v>1.409672830725462</v>
      </c>
      <c r="D36" s="96" t="n">
        <v>1.153042305747514</v>
      </c>
      <c r="E36" s="96" t="n">
        <v>1.666181969256336</v>
      </c>
      <c r="F36" s="96" t="n">
        <v>1.790555978674791</v>
      </c>
      <c r="G36" s="96" t="n">
        <v>1.938757655293088</v>
      </c>
    </row>
    <row r="37" ht="15" customHeight="1">
      <c r="B37" s="14" t="inlineStr">
        <is>
          <t>Net Debt ($M)</t>
        </is>
      </c>
      <c r="C37" s="94" t="n">
        <v>3885</v>
      </c>
      <c r="D37" s="94" t="n">
        <v>9777</v>
      </c>
      <c r="E37" s="94" t="n">
        <v>4743</v>
      </c>
      <c r="F37" s="94" t="n">
        <v>2140</v>
      </c>
      <c r="G37" s="94" t="n">
        <v>3895</v>
      </c>
    </row>
    <row r="38" ht="15" customHeight="1">
      <c r="B38" s="17" t="inlineStr">
        <is>
          <t>Net Debt / Adj. EBITDA</t>
        </is>
      </c>
      <c r="C38" s="97" t="inlineStr">
        <is>
          <t>N/A</t>
        </is>
      </c>
      <c r="D38" s="97" t="inlineStr">
        <is>
          <t>N/A</t>
        </is>
      </c>
      <c r="E38" s="96" t="n">
        <v>0.42</v>
      </c>
      <c r="F38" s="96" t="n">
        <v>0.11</v>
      </c>
      <c r="G38" s="96" t="n">
        <v>0.33</v>
      </c>
    </row>
    <row r="39" ht="15" customHeight="1">
      <c r="B39" s="14" t="inlineStr">
        <is>
          <t>Debt / Equity</t>
        </is>
      </c>
      <c r="C39" s="95" t="n">
        <v>1.638090452261306</v>
      </c>
      <c r="D39" s="95" t="n">
        <v>0.8970743352023538</v>
      </c>
      <c r="E39" s="95" t="n">
        <v>0.744497474630462</v>
      </c>
      <c r="F39" s="95" t="n">
        <v>0.5876531932709143</v>
      </c>
      <c r="G39" s="95" t="n">
        <v>0.7720928039234179</v>
      </c>
    </row>
    <row r="40" ht="15" customHeight="1">
      <c r="B40" s="17" t="inlineStr">
        <is>
          <t>Total Assets / Equity</t>
        </is>
      </c>
      <c r="C40" s="96" t="n">
        <v>4.144723618090453</v>
      </c>
      <c r="D40" s="96" t="n">
        <v>2.721034808194082</v>
      </c>
      <c r="E40" s="96" t="n">
        <v>2.36504332514712</v>
      </c>
      <c r="F40" s="96" t="n">
        <v>2.099185506584456</v>
      </c>
      <c r="G40" s="96" t="n">
        <v>2.364566632085259</v>
      </c>
    </row>
    <row r="41" ht="15" customHeight="1">
      <c r="B41" s="14" t="inlineStr">
        <is>
          <t>Goodwill / Total Assets</t>
        </is>
      </c>
      <c r="C41" s="84" t="n">
        <v>0.2110572259941804</v>
      </c>
      <c r="D41" s="84" t="n">
        <v>0.2527849185946872</v>
      </c>
      <c r="E41" s="84" t="n">
        <v>0.23608934169279</v>
      </c>
      <c r="F41" s="84" t="n">
        <v>0.2183522500634587</v>
      </c>
      <c r="G41" s="84" t="n">
        <v>0.2494066968470175</v>
      </c>
    </row>
    <row r="42" ht="15" customHeight="1">
      <c r="B42" s="17" t="inlineStr">
        <is>
          <t>ROIC (%)</t>
        </is>
      </c>
      <c r="C42" s="90" t="n">
        <v>0.214</v>
      </c>
      <c r="D42" s="90" t="n">
        <v>0.268</v>
      </c>
      <c r="E42" s="90" t="n">
        <v>0.213</v>
      </c>
      <c r="F42" s="90" t="n">
        <v>0.268</v>
      </c>
      <c r="G42" s="90" t="n">
        <v>0.149</v>
      </c>
    </row>
    <row r="43" ht="15" customHeight="1">
      <c r="B43" s="14" t="inlineStr">
        <is>
          <t>ROE (%)</t>
        </is>
      </c>
      <c r="C43" s="84" t="n">
        <v>0.193</v>
      </c>
      <c r="D43" s="84" t="n">
        <v>0.201</v>
      </c>
      <c r="E43" s="84" t="n">
        <v>0.371</v>
      </c>
      <c r="F43" s="84" t="n">
        <v>0.423</v>
      </c>
      <c r="G43" s="84" t="n">
        <v>0.233</v>
      </c>
    </row>
    <row r="44" ht="15" customHeight="1">
      <c r="B44" s="17" t="inlineStr">
        <is>
          <t>ROA (%)</t>
        </is>
      </c>
      <c r="C44" s="90" t="n">
        <v>0.146</v>
      </c>
      <c r="D44" s="90" t="n">
        <v>0.155</v>
      </c>
      <c r="E44" s="90" t="n">
        <v>0.154</v>
      </c>
      <c r="F44" s="90" t="n">
        <v>0.186</v>
      </c>
      <c r="G44" s="90" t="n">
        <v>0.103</v>
      </c>
    </row>
  </sheetData>
  <mergeCells count="5">
    <mergeCell ref="B18:H18"/>
    <mergeCell ref="B6:H6"/>
    <mergeCell ref="B2:H2"/>
    <mergeCell ref="B33:H33"/>
    <mergeCell ref="B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30" customHeight="1">
      <c r="B2" s="1" t="inlineStr">
        <is>
          <t>QUALCOMM (QCOM) — CASH FLOW STATEMENT ($M) | FY2021–FY2030E</t>
        </is>
      </c>
    </row>
    <row r="3" ht="16" customHeight="1">
      <c r="B3" s="2" t="inlineStr">
        <is>
          <t>Historical GAAP | Projections: Base Case</t>
        </is>
      </c>
    </row>
    <row r="5" ht="20" customHeight="1">
      <c r="B5" s="11" t="inlineStr">
        <is>
          <t>Cash Flow Item ($M)</t>
        </is>
      </c>
      <c r="C5" s="11" t="inlineStr">
        <is>
          <t>FY2021A</t>
        </is>
      </c>
      <c r="D5" s="11" t="inlineStr">
        <is>
          <t>FY2022A</t>
        </is>
      </c>
      <c r="E5" s="11" t="inlineStr">
        <is>
          <t>FY2023A</t>
        </is>
      </c>
      <c r="F5" s="11" t="inlineStr">
        <is>
          <t>FY2024A</t>
        </is>
      </c>
      <c r="G5" s="11" t="inlineStr">
        <is>
          <t>FY2025A</t>
        </is>
      </c>
      <c r="H5" s="11" t="inlineStr">
        <is>
          <t>FY2026E</t>
        </is>
      </c>
      <c r="I5" s="11" t="inlineStr">
        <is>
          <t>FY2027E</t>
        </is>
      </c>
      <c r="J5" s="11" t="inlineStr">
        <is>
          <t>FY2028E</t>
        </is>
      </c>
      <c r="K5" s="11" t="inlineStr">
        <is>
          <t>FY2029E</t>
        </is>
      </c>
      <c r="L5" s="11" t="inlineStr">
        <is>
          <t>FY2030E</t>
        </is>
      </c>
    </row>
    <row r="6" ht="18" customHeight="1">
      <c r="B6" s="6" t="inlineStr">
        <is>
          <t>OPERATING ACTIVITIES</t>
        </is>
      </c>
    </row>
    <row r="7" ht="15" customHeight="1">
      <c r="B7" s="14" t="inlineStr">
        <is>
          <t xml:space="preserve">  Net Income</t>
        </is>
      </c>
      <c r="C7" s="93" t="n">
        <v>9043</v>
      </c>
      <c r="D7" s="93" t="n">
        <v>12986</v>
      </c>
      <c r="E7" s="93" t="n">
        <v>7339</v>
      </c>
      <c r="F7" s="93" t="n">
        <v>10110</v>
      </c>
      <c r="G7" s="93" t="n">
        <v>5541</v>
      </c>
      <c r="H7" s="94" t="n">
        <v>10340</v>
      </c>
      <c r="I7" s="94" t="n">
        <v>11434</v>
      </c>
      <c r="J7" s="94" t="n">
        <v>12986</v>
      </c>
      <c r="K7" s="94" t="n">
        <v>14834</v>
      </c>
      <c r="L7" s="94" t="n">
        <v>16775</v>
      </c>
    </row>
    <row r="8" ht="15" customHeight="1">
      <c r="B8" s="17" t="inlineStr">
        <is>
          <t xml:space="preserve">  Depreciation &amp; Amortization</t>
        </is>
      </c>
      <c r="C8" s="87" t="n">
        <v>1582</v>
      </c>
      <c r="D8" s="87" t="n">
        <v>1762</v>
      </c>
      <c r="E8" s="87" t="n">
        <v>1809</v>
      </c>
      <c r="F8" s="87" t="n">
        <v>1706</v>
      </c>
      <c r="G8" s="87" t="n">
        <v>1602</v>
      </c>
      <c r="H8" s="88" t="n">
        <v>1728</v>
      </c>
      <c r="I8" s="88" t="n">
        <v>1902</v>
      </c>
      <c r="J8" s="88" t="n">
        <v>2149</v>
      </c>
      <c r="K8" s="88" t="n">
        <v>2443</v>
      </c>
      <c r="L8" s="88" t="n">
        <v>2752</v>
      </c>
    </row>
    <row r="9" ht="15" customHeight="1">
      <c r="B9" s="14" t="inlineStr">
        <is>
          <t xml:space="preserve">  Stock-Based Compensation</t>
        </is>
      </c>
      <c r="C9" s="93" t="n">
        <v>1663</v>
      </c>
      <c r="D9" s="93" t="n">
        <v>2031</v>
      </c>
      <c r="E9" s="93" t="n">
        <v>2484</v>
      </c>
      <c r="F9" s="93" t="n">
        <v>2648</v>
      </c>
      <c r="G9" s="93" t="n">
        <v>2783</v>
      </c>
      <c r="H9" s="94" t="n">
        <v>3120</v>
      </c>
      <c r="I9" s="94" t="n">
        <v>3435</v>
      </c>
      <c r="J9" s="94" t="n">
        <v>3881</v>
      </c>
      <c r="K9" s="94" t="n">
        <v>4412</v>
      </c>
      <c r="L9" s="94" t="n">
        <v>4969</v>
      </c>
    </row>
    <row r="10" ht="15" customHeight="1">
      <c r="B10" s="17" t="inlineStr">
        <is>
          <t xml:space="preserve">  Change in Working Capital</t>
        </is>
      </c>
      <c r="C10" s="87" t="n">
        <v>-461</v>
      </c>
      <c r="D10" s="87" t="n">
        <v>-7800</v>
      </c>
      <c r="E10" s="87" t="n">
        <v>1148</v>
      </c>
      <c r="F10" s="87" t="n">
        <v>1223</v>
      </c>
      <c r="G10" s="87" t="n">
        <v>414</v>
      </c>
      <c r="H10" s="88" t="n">
        <v>240</v>
      </c>
      <c r="I10" s="88" t="n">
        <v>264</v>
      </c>
      <c r="J10" s="88" t="n">
        <v>298</v>
      </c>
      <c r="K10" s="88" t="n">
        <v>339</v>
      </c>
      <c r="L10" s="88" t="n">
        <v>382</v>
      </c>
    </row>
    <row r="11" ht="15" customHeight="1">
      <c r="B11" s="14" t="inlineStr">
        <is>
          <t xml:space="preserve">  Other Non-Cash / Adj.</t>
        </is>
      </c>
      <c r="C11" s="93" t="n">
        <v>-1291</v>
      </c>
      <c r="D11" s="93" t="n">
        <v>117</v>
      </c>
      <c r="E11" s="93" t="n">
        <v>519</v>
      </c>
      <c r="F11" s="93" t="n">
        <v>515</v>
      </c>
      <c r="G11" s="93" t="n">
        <v>3672</v>
      </c>
      <c r="H11" s="94" t="n">
        <v>200</v>
      </c>
      <c r="I11" s="94" t="n">
        <v>200</v>
      </c>
      <c r="J11" s="94" t="n">
        <v>200</v>
      </c>
      <c r="K11" s="94" t="n">
        <v>200</v>
      </c>
      <c r="L11" s="94" t="n">
        <v>200</v>
      </c>
    </row>
    <row r="12" ht="15" customHeight="1">
      <c r="B12" s="61" t="inlineStr">
        <is>
          <t>Net Cash from Operations (CFO)</t>
        </is>
      </c>
      <c r="C12" s="62" t="n">
        <v>10536</v>
      </c>
      <c r="D12" s="62" t="n">
        <v>9096</v>
      </c>
      <c r="E12" s="62" t="n">
        <v>11299</v>
      </c>
      <c r="F12" s="62" t="n">
        <v>12202</v>
      </c>
      <c r="G12" s="62" t="n">
        <v>14012</v>
      </c>
      <c r="H12" s="62" t="n">
        <v>15428</v>
      </c>
      <c r="I12" s="62" t="n">
        <v>17035</v>
      </c>
      <c r="J12" s="62" t="n">
        <v>19314</v>
      </c>
      <c r="K12" s="62" t="n">
        <v>22028</v>
      </c>
      <c r="L12" s="62" t="n">
        <v>24878</v>
      </c>
    </row>
    <row r="13" ht="5" customHeight="1"/>
    <row r="14" ht="18" customHeight="1">
      <c r="B14" s="6" t="inlineStr">
        <is>
          <t>INVESTING ACTIVITIES</t>
        </is>
      </c>
    </row>
    <row r="15" ht="15" customHeight="1">
      <c r="B15" s="14" t="inlineStr">
        <is>
          <t xml:space="preserve">  Capital Expenditures (CapEx)</t>
        </is>
      </c>
      <c r="C15" s="80" t="n">
        <v>-1888</v>
      </c>
      <c r="D15" s="80" t="n">
        <v>-2262</v>
      </c>
      <c r="E15" s="80" t="n">
        <v>-1450</v>
      </c>
      <c r="F15" s="80" t="n">
        <v>-1041</v>
      </c>
      <c r="G15" s="80" t="n">
        <v>-1192</v>
      </c>
      <c r="H15" s="81" t="n">
        <v>-1296</v>
      </c>
      <c r="I15" s="81" t="n">
        <v>-1426</v>
      </c>
      <c r="J15" s="81" t="n">
        <v>-1612</v>
      </c>
      <c r="K15" s="81" t="n">
        <v>-1832</v>
      </c>
      <c r="L15" s="81" t="n">
        <v>-2064</v>
      </c>
    </row>
    <row r="16" ht="15" customHeight="1">
      <c r="B16" s="17" t="inlineStr">
        <is>
          <t xml:space="preserve">  Acquisitions (net)</t>
        </is>
      </c>
      <c r="C16" s="85" t="n">
        <v>-1377</v>
      </c>
      <c r="D16" s="85" t="n">
        <v>-4912</v>
      </c>
      <c r="E16" s="85" t="n">
        <v>-235</v>
      </c>
      <c r="F16" s="85" t="n">
        <v>-254</v>
      </c>
      <c r="G16" s="85" t="n">
        <v>-743</v>
      </c>
      <c r="H16" s="86" t="n">
        <v>-500</v>
      </c>
      <c r="I16" s="86" t="n">
        <v>-500</v>
      </c>
      <c r="J16" s="86" t="n">
        <v>-400</v>
      </c>
      <c r="K16" s="86" t="n">
        <v>-400</v>
      </c>
      <c r="L16" s="86" t="n">
        <v>-400</v>
      </c>
    </row>
    <row r="17" ht="15" customHeight="1">
      <c r="B17" s="14" t="inlineStr">
        <is>
          <t xml:space="preserve">  Net Investments &amp; Other</t>
        </is>
      </c>
      <c r="C17" s="93" t="n">
        <v>-91</v>
      </c>
      <c r="D17" s="93" t="n">
        <v>-1630</v>
      </c>
      <c r="E17" s="93" t="n">
        <v>1447</v>
      </c>
      <c r="F17" s="93" t="n">
        <v>-2328</v>
      </c>
      <c r="G17" s="93" t="n">
        <v>435</v>
      </c>
      <c r="H17" s="94" t="n">
        <v>-300</v>
      </c>
      <c r="I17" s="94" t="n">
        <v>-300</v>
      </c>
      <c r="J17" s="94" t="n">
        <v>-300</v>
      </c>
      <c r="K17" s="94" t="n">
        <v>-300</v>
      </c>
      <c r="L17" s="94" t="n">
        <v>-300</v>
      </c>
    </row>
    <row r="18" ht="15" customHeight="1">
      <c r="B18" s="61" t="inlineStr">
        <is>
          <t>Net Cash from Investing (CFI)</t>
        </is>
      </c>
      <c r="C18" s="62" t="n">
        <v>-3356</v>
      </c>
      <c r="D18" s="62" t="n">
        <v>-5804</v>
      </c>
      <c r="E18" s="62" t="n">
        <v>762</v>
      </c>
      <c r="F18" s="62" t="n">
        <v>-3623</v>
      </c>
      <c r="G18" s="62" t="n">
        <v>-800</v>
      </c>
      <c r="H18" s="62" t="n">
        <v>-2096</v>
      </c>
      <c r="I18" s="62" t="n">
        <v>-2226</v>
      </c>
      <c r="J18" s="62" t="n">
        <v>-2312</v>
      </c>
      <c r="K18" s="62" t="n">
        <v>-2532</v>
      </c>
      <c r="L18" s="62" t="n">
        <v>-2764</v>
      </c>
    </row>
    <row r="19" ht="5" customHeight="1"/>
    <row r="20" ht="18" customHeight="1">
      <c r="B20" s="6" t="inlineStr">
        <is>
          <t>FINANCING ACTIVITIES</t>
        </is>
      </c>
    </row>
    <row r="21" ht="15" customHeight="1">
      <c r="B21" s="14" t="inlineStr">
        <is>
          <t xml:space="preserve">  Dividends Paid</t>
        </is>
      </c>
      <c r="C21" s="80" t="n">
        <v>-3008</v>
      </c>
      <c r="D21" s="80" t="n">
        <v>-3212</v>
      </c>
      <c r="E21" s="80" t="n">
        <v>-3462</v>
      </c>
      <c r="F21" s="80" t="n">
        <v>-3687</v>
      </c>
      <c r="G21" s="80" t="n">
        <v>-3805</v>
      </c>
      <c r="H21" s="81" t="n">
        <v>-4000</v>
      </c>
      <c r="I21" s="81" t="n">
        <v>-4200</v>
      </c>
      <c r="J21" s="81" t="n">
        <v>-4400</v>
      </c>
      <c r="K21" s="81" t="n">
        <v>-4600</v>
      </c>
      <c r="L21" s="81" t="n">
        <v>-4800</v>
      </c>
    </row>
    <row r="22" ht="15" customHeight="1">
      <c r="B22" s="17" t="inlineStr">
        <is>
          <t xml:space="preserve">  Share Repurchases</t>
        </is>
      </c>
      <c r="C22" s="85" t="n">
        <v>-3366</v>
      </c>
      <c r="D22" s="85" t="n">
        <v>-3129</v>
      </c>
      <c r="E22" s="85" t="n">
        <v>-2973</v>
      </c>
      <c r="F22" s="85" t="n">
        <v>-4121</v>
      </c>
      <c r="G22" s="85" t="n">
        <v>-8791</v>
      </c>
      <c r="H22" s="86" t="n">
        <v>-5000</v>
      </c>
      <c r="I22" s="86" t="n">
        <v>-5000</v>
      </c>
      <c r="J22" s="86" t="n">
        <v>-5000</v>
      </c>
      <c r="K22" s="86" t="n">
        <v>-5000</v>
      </c>
      <c r="L22" s="86" t="n">
        <v>-5000</v>
      </c>
    </row>
    <row r="23" ht="15" customHeight="1">
      <c r="B23" s="14" t="inlineStr">
        <is>
          <t xml:space="preserve">  Net Debt Issuance / (Repay.)</t>
        </is>
      </c>
      <c r="C23" s="93" t="n">
        <v>1</v>
      </c>
      <c r="D23" s="93" t="n">
        <v>-415</v>
      </c>
      <c r="E23" s="93" t="n">
        <v>-64</v>
      </c>
      <c r="F23" s="93" t="n">
        <v>-914</v>
      </c>
      <c r="G23" s="93" t="n">
        <v>122</v>
      </c>
      <c r="H23" s="94" t="n">
        <v>0</v>
      </c>
      <c r="I23" s="94" t="n">
        <v>0</v>
      </c>
      <c r="J23" s="94" t="n">
        <v>0</v>
      </c>
      <c r="K23" s="94" t="n">
        <v>0</v>
      </c>
      <c r="L23" s="94" t="n">
        <v>0</v>
      </c>
    </row>
    <row r="24" ht="15" customHeight="1">
      <c r="B24" s="61" t="inlineStr">
        <is>
          <t>Net Cash from Financing (CFF)</t>
        </is>
      </c>
      <c r="C24" s="62" t="n">
        <v>-6798</v>
      </c>
      <c r="D24" s="62" t="n">
        <v>-7196</v>
      </c>
      <c r="E24" s="62" t="n">
        <v>-6663</v>
      </c>
      <c r="F24" s="62" t="n">
        <v>-9269</v>
      </c>
      <c r="G24" s="62" t="n">
        <v>-13196</v>
      </c>
      <c r="H24" s="62" t="n">
        <v>-9000</v>
      </c>
      <c r="I24" s="62" t="n">
        <v>-9200</v>
      </c>
      <c r="J24" s="62" t="n">
        <v>-9400</v>
      </c>
      <c r="K24" s="62" t="n">
        <v>-9600</v>
      </c>
      <c r="L24" s="62" t="n">
        <v>-9800</v>
      </c>
    </row>
    <row r="25" ht="5" customHeight="1"/>
    <row r="26" ht="18" customHeight="1">
      <c r="B26" s="6" t="inlineStr">
        <is>
          <t>FREE CASH FLOW METRICS</t>
        </is>
      </c>
    </row>
    <row r="27" ht="15" customHeight="1">
      <c r="B27" s="61" t="inlineStr">
        <is>
          <t>Free Cash Flow (CFO + CapEx)</t>
        </is>
      </c>
      <c r="C27" s="62" t="n">
        <v>8648</v>
      </c>
      <c r="D27" s="62" t="n">
        <v>6834</v>
      </c>
      <c r="E27" s="62" t="n">
        <v>9849</v>
      </c>
      <c r="F27" s="62" t="n">
        <v>11161</v>
      </c>
      <c r="G27" s="62" t="n">
        <v>12820</v>
      </c>
      <c r="H27" s="62" t="n">
        <v>14132</v>
      </c>
      <c r="I27" s="62" t="n">
        <v>15609</v>
      </c>
      <c r="J27" s="62" t="n">
        <v>17702</v>
      </c>
      <c r="K27" s="62" t="n">
        <v>20196</v>
      </c>
      <c r="L27" s="62" t="n">
        <v>22814</v>
      </c>
    </row>
    <row r="28" ht="15" customHeight="1">
      <c r="B28" s="17" t="inlineStr">
        <is>
          <t xml:space="preserve">    FCF Margin</t>
        </is>
      </c>
      <c r="C28" s="89" t="n">
        <v>0.2576416612047905</v>
      </c>
      <c r="D28" s="89" t="n">
        <v>0.1546153846153846</v>
      </c>
      <c r="E28" s="89" t="n">
        <v>0.2749581239530988</v>
      </c>
      <c r="F28" s="89" t="n">
        <v>0.2864586006878497</v>
      </c>
      <c r="G28" s="89" t="n">
        <v>0.289495077228796</v>
      </c>
      <c r="H28" s="90" t="n">
        <v>0.2943614738903123</v>
      </c>
      <c r="I28" s="90" t="n">
        <v>0.2953564940962761</v>
      </c>
      <c r="J28" s="90" t="n">
        <v>0.2964563236870311</v>
      </c>
      <c r="K28" s="90" t="n">
        <v>0.2975206611570248</v>
      </c>
      <c r="L28" s="90" t="n">
        <v>0.2983860420099924</v>
      </c>
    </row>
    <row r="29" ht="15" customHeight="1">
      <c r="B29" s="14" t="inlineStr">
        <is>
          <t xml:space="preserve">    OCF / Net Income</t>
        </is>
      </c>
      <c r="C29" s="98" t="n">
        <v>1.16510007740794</v>
      </c>
      <c r="D29" s="98" t="n">
        <v>0.7004466348375173</v>
      </c>
      <c r="E29" s="98" t="n">
        <v>1.539583049461779</v>
      </c>
      <c r="F29" s="98" t="n">
        <v>1.206923837784372</v>
      </c>
      <c r="G29" s="98" t="n">
        <v>2.528785417794622</v>
      </c>
      <c r="H29" s="95" t="n">
        <v>1.492069632495164</v>
      </c>
      <c r="I29" s="95" t="n">
        <v>1.489854818960993</v>
      </c>
      <c r="J29" s="95" t="n">
        <v>1.487294008932697</v>
      </c>
      <c r="K29" s="95" t="n">
        <v>1.484966967776729</v>
      </c>
      <c r="L29" s="95" t="n">
        <v>1.483040238450074</v>
      </c>
    </row>
    <row r="30" ht="15" customHeight="1">
      <c r="B30" s="17" t="inlineStr">
        <is>
          <t xml:space="preserve">    CapEx / Revenue</t>
        </is>
      </c>
      <c r="C30" s="89" t="n">
        <v>-0.05624739319549544</v>
      </c>
      <c r="D30" s="89" t="n">
        <v>-0.0511764705882353</v>
      </c>
      <c r="E30" s="89" t="n">
        <v>-0.04048017867113345</v>
      </c>
      <c r="F30" s="89" t="n">
        <v>-0.02671834094758996</v>
      </c>
      <c r="G30" s="89" t="n">
        <v>-0.02691717098726402</v>
      </c>
      <c r="H30" s="90" t="n">
        <v>0.0269949384490408</v>
      </c>
      <c r="I30" s="90" t="n">
        <v>0.02698304571601574</v>
      </c>
      <c r="J30" s="90" t="n">
        <v>0.0269962486602358</v>
      </c>
      <c r="K30" s="90" t="n">
        <v>0.0269884061814057</v>
      </c>
      <c r="L30" s="90" t="n">
        <v>0.02699521305814957</v>
      </c>
    </row>
  </sheetData>
  <mergeCells count="6">
    <mergeCell ref="B26:L26"/>
    <mergeCell ref="B6:L6"/>
    <mergeCell ref="B3:L3"/>
    <mergeCell ref="B2:L2"/>
    <mergeCell ref="B20:L20"/>
    <mergeCell ref="B14:L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pane xSplit="2" ySplit="19" topLeftCell="C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QUALCOMM (QCOM) — DISCOUNTED CASH FLOW VALUATION</t>
        </is>
      </c>
    </row>
    <row r="3" ht="16" customHeight="1">
      <c r="B3" s="2" t="inlineStr">
        <is>
          <t>Base Case | 5-Year Projection + Terminal Value | Fiscal Year End: Late September</t>
        </is>
      </c>
    </row>
    <row r="5" ht="18" customHeight="1">
      <c r="B5" s="6" t="inlineStr">
        <is>
          <t>WACC CALCULATION</t>
        </is>
      </c>
      <c r="G5" s="6" t="inlineStr">
        <is>
          <t>ENTERPRISE → EQUITY BRIDGE</t>
        </is>
      </c>
    </row>
    <row r="6" ht="20" customHeight="1">
      <c r="B6" s="11" t="inlineStr">
        <is>
          <t>Input</t>
        </is>
      </c>
      <c r="C6" s="11" t="inlineStr">
        <is>
          <t>Value</t>
        </is>
      </c>
      <c r="D6" s="11" t="inlineStr">
        <is>
          <t>Source / Comment</t>
        </is>
      </c>
      <c r="E6" s="67" t="n"/>
      <c r="F6" s="68" t="n"/>
      <c r="G6" s="11" t="inlineStr">
        <is>
          <t>Bridge Item</t>
        </is>
      </c>
      <c r="H6" s="11" t="inlineStr">
        <is>
          <t>Value ($M)</t>
        </is>
      </c>
      <c r="I6" s="11" t="inlineStr">
        <is>
          <t>Notes</t>
        </is>
      </c>
      <c r="J6" s="67" t="n"/>
      <c r="K6" s="68" t="n"/>
    </row>
    <row r="7" ht="16" customHeight="1">
      <c r="B7" s="33" t="inlineStr">
        <is>
          <t>Risk-Free Rate (10Y UST)</t>
        </is>
      </c>
      <c r="C7" s="99" t="n">
        <v>0.044</v>
      </c>
      <c r="D7" s="100" t="inlineStr">
        <is>
          <t>Current US 10-year Treasury yield (~4.4%)</t>
        </is>
      </c>
      <c r="G7" s="14" t="inlineStr">
        <is>
          <t>PV of FCFs (FY26–30)</t>
        </is>
      </c>
      <c r="H7" s="93" t="n">
        <v>51040</v>
      </c>
      <c r="I7" s="101" t="inlineStr">
        <is>
          <t>Sum of discounted unlevered FCFs → computed below</t>
        </is>
      </c>
    </row>
    <row r="8" ht="16" customHeight="1">
      <c r="B8" s="33" t="inlineStr">
        <is>
          <t>Equity Risk Premium (ERP)</t>
        </is>
      </c>
      <c r="C8" s="99" t="n">
        <v>0.051</v>
      </c>
      <c r="D8" s="100" t="inlineStr">
        <is>
          <t>Damodaran ERP estimate; semiconductor sector</t>
        </is>
      </c>
      <c r="G8" s="17" t="inlineStr">
        <is>
          <t>PV of Terminal Value</t>
        </is>
      </c>
      <c r="H8" s="87" t="n">
        <v>145884</v>
      </c>
      <c r="I8" s="102" t="inlineStr">
        <is>
          <t>Gordon Growth / exit multiple → computed below</t>
        </is>
      </c>
    </row>
    <row r="9" ht="16" customHeight="1">
      <c r="B9" s="33" t="inlineStr">
        <is>
          <t>Beta (adjusted)</t>
        </is>
      </c>
      <c r="C9" s="99" t="n">
        <v>1.3</v>
      </c>
      <c r="D9" s="100" t="inlineStr">
        <is>
          <t>Range 1.23–1.37 (alphaspread / valueinvesting.io); adjusted beta</t>
        </is>
      </c>
      <c r="G9" s="14" t="inlineStr">
        <is>
          <t>Enterprise Value (DCF)</t>
        </is>
      </c>
      <c r="H9" s="62">
        <f>H7+H8</f>
        <v/>
      </c>
      <c r="I9" s="101" t="inlineStr">
        <is>
          <t>PV FCFs + PV TV</t>
        </is>
      </c>
    </row>
    <row r="10" ht="16" customHeight="1">
      <c r="B10" s="17" t="inlineStr">
        <is>
          <t>Cost of Equity (CAPM)</t>
        </is>
      </c>
      <c r="C10" s="103">
        <f>C7+C9*C8</f>
        <v/>
      </c>
      <c r="D10" s="102" t="inlineStr">
        <is>
          <t>Ke = Rf + β × ERP = 4.40% + 1.30 × 5.10%</t>
        </is>
      </c>
      <c r="G10" s="17" t="inlineStr">
        <is>
          <t>(–) Net Debt</t>
        </is>
      </c>
      <c r="H10" s="87" t="n">
        <v>-4656</v>
      </c>
      <c r="I10" s="102" t="inlineStr">
        <is>
          <t>FY25 net debt: $16.4B total debt – $11.7B cash/STI</t>
        </is>
      </c>
    </row>
    <row r="11" ht="16" customHeight="1">
      <c r="B11" s="33" t="inlineStr">
        <is>
          <t>Pre-Tax Cost of Debt</t>
        </is>
      </c>
      <c r="C11" s="99" t="n">
        <v>0.05</v>
      </c>
      <c r="D11" s="100" t="inlineStr">
        <is>
          <t>Blended rate on outstanding bonds; ~5.0%</t>
        </is>
      </c>
      <c r="G11" s="14" t="inlineStr">
        <is>
          <t>(+) Equity Investments / QSI</t>
        </is>
      </c>
      <c r="H11" s="93" t="n">
        <v>500</v>
      </c>
      <c r="I11" s="101" t="inlineStr">
        <is>
          <t>Conservative book value of QSI portfolio</t>
        </is>
      </c>
    </row>
    <row r="12" ht="16" customHeight="1">
      <c r="B12" s="33" t="inlineStr">
        <is>
          <t>Tax Rate</t>
        </is>
      </c>
      <c r="C12" s="99" t="n">
        <v>0.13</v>
      </c>
      <c r="D12" s="100" t="inlineStr">
        <is>
          <t>Adj. effective tax rate guidance 13–14%; FY25 actual distorted by deferred</t>
        </is>
      </c>
      <c r="G12" s="17" t="inlineStr">
        <is>
          <t>Equity Value</t>
        </is>
      </c>
      <c r="H12" s="62">
        <f>H9+H10+H11</f>
        <v/>
      </c>
      <c r="I12" s="102" t="inlineStr">
        <is>
          <t>EV – Net Debt + Equity Investments</t>
        </is>
      </c>
    </row>
    <row r="13" ht="16" customHeight="1">
      <c r="B13" s="14" t="inlineStr">
        <is>
          <t>After-Tax Cost of Debt</t>
        </is>
      </c>
      <c r="C13" s="104">
        <f>C11*(1-C12)</f>
        <v/>
      </c>
      <c r="D13" s="101" t="inlineStr">
        <is>
          <t>Kd × (1 – t)</t>
        </is>
      </c>
      <c r="G13" s="14" t="inlineStr">
        <is>
          <t>Diluted Shares (M)</t>
        </is>
      </c>
      <c r="H13" s="105" t="n">
        <v>1055</v>
      </c>
      <c r="I13" s="101" t="inlineStr">
        <is>
          <t>FY25 actual; assumes ~2% buyback in FY26</t>
        </is>
      </c>
    </row>
    <row r="14" ht="16" customHeight="1">
      <c r="B14" s="33" t="inlineStr">
        <is>
          <t>Equity Weight (E/V)</t>
        </is>
      </c>
      <c r="C14" s="99" t="n">
        <v>0.93</v>
      </c>
      <c r="D14" s="100" t="inlineStr">
        <is>
          <t>Market cap ~$225B / EV ~$242B; 93% equity</t>
        </is>
      </c>
      <c r="G14" s="17" t="inlineStr">
        <is>
          <t>Implied Share Price (DCF)</t>
        </is>
      </c>
      <c r="H14" s="106">
        <f>H12/H13</f>
        <v/>
      </c>
      <c r="I14" s="102" t="inlineStr">
        <is>
          <t>Equity Value / Diluted Shares</t>
        </is>
      </c>
    </row>
    <row r="15" ht="16" customHeight="1">
      <c r="B15" s="33" t="inlineStr">
        <is>
          <t>Debt Weight (D/V)</t>
        </is>
      </c>
      <c r="C15" s="99" t="n">
        <v>0.07000000000000001</v>
      </c>
      <c r="D15" s="100" t="inlineStr">
        <is>
          <t>1 – equity weight</t>
        </is>
      </c>
      <c r="G15" s="14" t="inlineStr">
        <is>
          <t>Current Price</t>
        </is>
      </c>
      <c r="H15" s="105" t="n">
        <v>213.17</v>
      </c>
      <c r="I15" s="101" t="inlineStr">
        <is>
          <t>13-May-2026 closing price</t>
        </is>
      </c>
    </row>
    <row r="16" ht="16" customHeight="1">
      <c r="B16" s="17" t="inlineStr">
        <is>
          <t>WACC</t>
        </is>
      </c>
      <c r="C16" s="107">
        <f>C14*C10+C15*C13</f>
        <v/>
      </c>
      <c r="D16" s="102" t="inlineStr">
        <is>
          <t>WACC = (E/V)×Ke + (D/V)×Kd×(1-t) ── Target: 10.7%</t>
        </is>
      </c>
      <c r="G16" s="17" t="inlineStr">
        <is>
          <t>Upside / (Downside)</t>
        </is>
      </c>
      <c r="H16" s="108">
        <f>H14/H15-1</f>
        <v/>
      </c>
      <c r="I16" s="102">
        <f> Implied Price / Current Price – 1</f>
        <v/>
      </c>
    </row>
    <row r="18" ht="8" customHeight="1"/>
    <row r="19" ht="18" customHeight="1">
      <c r="B19" s="6" t="inlineStr">
        <is>
          <t>UNLEVERED FREE CASH FLOW (UFCF) SCHEDULE — BASE CASE</t>
        </is>
      </c>
    </row>
    <row r="20" ht="20" customHeight="1">
      <c r="B20" s="11" t="inlineStr">
        <is>
          <t>Item ($M)</t>
        </is>
      </c>
      <c r="C20" s="11" t="inlineStr">
        <is>
          <t>FY2026E</t>
        </is>
      </c>
      <c r="D20" s="11" t="inlineStr">
        <is>
          <t>FY2027E</t>
        </is>
      </c>
      <c r="E20" s="11" t="inlineStr">
        <is>
          <t>FY2028E</t>
        </is>
      </c>
      <c r="F20" s="11" t="inlineStr">
        <is>
          <t>FY2029E</t>
        </is>
      </c>
      <c r="G20" s="11" t="inlineStr">
        <is>
          <t>FY2030E</t>
        </is>
      </c>
      <c r="H20" s="11" t="inlineStr">
        <is>
          <t>Terminal Year</t>
        </is>
      </c>
    </row>
    <row r="21" ht="15" customHeight="1">
      <c r="B21" s="14" t="inlineStr">
        <is>
          <t>EBIT (Operating Income)</t>
        </is>
      </c>
      <c r="C21" s="93" t="n">
        <v>12484</v>
      </c>
      <c r="D21" s="93" t="n">
        <v>13742</v>
      </c>
      <c r="E21" s="93" t="n">
        <v>15526</v>
      </c>
      <c r="F21" s="93" t="n">
        <v>17650</v>
      </c>
      <c r="G21" s="93" t="n">
        <v>19881</v>
      </c>
      <c r="H21" s="109" t="inlineStr">
        <is>
          <t>—</t>
        </is>
      </c>
    </row>
    <row r="22" ht="15" customHeight="1">
      <c r="B22" s="17" t="inlineStr">
        <is>
          <t>Tax Rate</t>
        </is>
      </c>
      <c r="C22" s="89" t="n">
        <v>0.13</v>
      </c>
      <c r="D22" s="89" t="n">
        <v>0.13</v>
      </c>
      <c r="E22" s="89" t="n">
        <v>0.13</v>
      </c>
      <c r="F22" s="89" t="n">
        <v>0.13</v>
      </c>
      <c r="G22" s="89" t="n">
        <v>0.13</v>
      </c>
      <c r="H22" s="109" t="inlineStr">
        <is>
          <t>—</t>
        </is>
      </c>
    </row>
    <row r="23" ht="15" customHeight="1">
      <c r="B23" s="14" t="inlineStr">
        <is>
          <t>NOPAT (EBIT × (1–t))</t>
        </is>
      </c>
      <c r="C23" s="94">
        <f>C21*(1-C22)</f>
        <v/>
      </c>
      <c r="D23" s="94">
        <f>D21*(1-D22)</f>
        <v/>
      </c>
      <c r="E23" s="94">
        <f>E21*(1-E22)</f>
        <v/>
      </c>
      <c r="F23" s="94">
        <f>F21*(1-F22)</f>
        <v/>
      </c>
      <c r="G23" s="94">
        <f>G21*(1-G22)</f>
        <v/>
      </c>
      <c r="H23" s="109" t="inlineStr">
        <is>
          <t>—</t>
        </is>
      </c>
    </row>
    <row r="24" ht="15" customHeight="1">
      <c r="B24" s="17" t="inlineStr">
        <is>
          <t>(+) D&amp;A</t>
        </is>
      </c>
      <c r="C24" s="87" t="n">
        <v>1728</v>
      </c>
      <c r="D24" s="87" t="n">
        <v>1902</v>
      </c>
      <c r="E24" s="87" t="n">
        <v>2149</v>
      </c>
      <c r="F24" s="87" t="n">
        <v>2443</v>
      </c>
      <c r="G24" s="87" t="n">
        <v>2752</v>
      </c>
      <c r="H24" s="109" t="inlineStr">
        <is>
          <t>—</t>
        </is>
      </c>
    </row>
    <row r="25" ht="15" customHeight="1">
      <c r="B25" s="14" t="inlineStr">
        <is>
          <t>(–) Capital Expenditures</t>
        </is>
      </c>
      <c r="C25" s="93" t="n">
        <v>-1296</v>
      </c>
      <c r="D25" s="93" t="n">
        <v>-1426</v>
      </c>
      <c r="E25" s="93" t="n">
        <v>-1612</v>
      </c>
      <c r="F25" s="93" t="n">
        <v>-1832</v>
      </c>
      <c r="G25" s="93" t="n">
        <v>-2064</v>
      </c>
      <c r="H25" s="109" t="inlineStr">
        <is>
          <t>—</t>
        </is>
      </c>
    </row>
    <row r="26" ht="15" customHeight="1">
      <c r="B26" s="17" t="inlineStr">
        <is>
          <t>(–) Change in NWC</t>
        </is>
      </c>
      <c r="C26" s="87" t="n">
        <v>240</v>
      </c>
      <c r="D26" s="87" t="n">
        <v>264</v>
      </c>
      <c r="E26" s="87" t="n">
        <v>298</v>
      </c>
      <c r="F26" s="87" t="n">
        <v>339</v>
      </c>
      <c r="G26" s="87" t="n">
        <v>382</v>
      </c>
      <c r="H26" s="109" t="inlineStr">
        <is>
          <t>—</t>
        </is>
      </c>
    </row>
    <row r="27" ht="15" customHeight="1">
      <c r="B27" s="61" t="inlineStr">
        <is>
          <t>Unlevered FCF (UFCF)</t>
        </is>
      </c>
      <c r="C27" s="62" t="n">
        <v>11053</v>
      </c>
      <c r="D27" s="62" t="n">
        <v>12167</v>
      </c>
      <c r="E27" s="62" t="n">
        <v>13746</v>
      </c>
      <c r="F27" s="62" t="n">
        <v>15627</v>
      </c>
      <c r="G27" s="62" t="n">
        <v>17602</v>
      </c>
      <c r="H27" s="47" t="n">
        <v>18130</v>
      </c>
    </row>
    <row r="28" ht="15" customHeight="1">
      <c r="B28" s="17" t="inlineStr">
        <is>
          <t>Period (year)</t>
        </is>
      </c>
      <c r="C28" s="110" t="n">
        <v>1</v>
      </c>
      <c r="D28" s="110" t="n">
        <v>2</v>
      </c>
      <c r="E28" s="110" t="n">
        <v>3</v>
      </c>
      <c r="F28" s="110" t="n">
        <v>4</v>
      </c>
      <c r="G28" s="110" t="n">
        <v>5</v>
      </c>
      <c r="H28" s="109" t="inlineStr">
        <is>
          <t>—</t>
        </is>
      </c>
    </row>
    <row r="29" ht="15" customHeight="1">
      <c r="B29" s="14" t="inlineStr">
        <is>
          <t>Discount Factor [1/(1+WACC)^t]</t>
        </is>
      </c>
      <c r="C29" s="111">
        <f>1/(1+C16)^C28</f>
        <v/>
      </c>
      <c r="D29" s="111">
        <f>1/(1+C16)^D28</f>
        <v/>
      </c>
      <c r="E29" s="111">
        <f>1/(1+C16)^E28</f>
        <v/>
      </c>
      <c r="F29" s="111">
        <f>1/(1+C16)^F28</f>
        <v/>
      </c>
      <c r="G29" s="111">
        <f>1/(1+C16)^G28</f>
        <v/>
      </c>
      <c r="H29" s="109" t="inlineStr">
        <is>
          <t>—</t>
        </is>
      </c>
    </row>
    <row r="30" ht="15" customHeight="1">
      <c r="B30" s="61" t="inlineStr">
        <is>
          <t>PV of UFCF</t>
        </is>
      </c>
      <c r="C30" s="62">
        <f>C27*C29</f>
        <v/>
      </c>
      <c r="D30" s="62">
        <f>D27*D29</f>
        <v/>
      </c>
      <c r="E30" s="62">
        <f>E27*E29</f>
        <v/>
      </c>
      <c r="F30" s="62">
        <f>F27*F29</f>
        <v/>
      </c>
      <c r="G30" s="62">
        <f>G27*G29</f>
        <v/>
      </c>
      <c r="H30" s="109" t="inlineStr">
        <is>
          <t>—</t>
        </is>
      </c>
    </row>
    <row r="31" ht="18" customHeight="1">
      <c r="B31" s="78" t="inlineStr">
        <is>
          <t>Sum of PV(UFCF) → FY26–30</t>
        </is>
      </c>
      <c r="C31" s="112">
        <f>SUM(C30:G30)</f>
        <v/>
      </c>
    </row>
    <row r="32" ht="8" customHeight="1"/>
    <row r="33" ht="18" customHeight="1">
      <c r="B33" s="6" t="inlineStr">
        <is>
          <t>TERMINAL VALUE — GORDON GROWTH + EXIT MULTIPLE CROSS-CHECK</t>
        </is>
      </c>
    </row>
    <row r="34" ht="20" customHeight="1">
      <c r="B34" s="11" t="inlineStr">
        <is>
          <t>Terminal Value Method</t>
        </is>
      </c>
      <c r="C34" s="11" t="inlineStr">
        <is>
          <t>Input / Formula</t>
        </is>
      </c>
      <c r="D34" s="11" t="inlineStr">
        <is>
          <t>Value ($M)</t>
        </is>
      </c>
      <c r="E34" s="11" t="inlineStr">
        <is>
          <t>Notes</t>
        </is>
      </c>
      <c r="F34" s="67" t="n"/>
      <c r="G34" s="67" t="n"/>
      <c r="H34" s="67" t="n"/>
      <c r="I34" s="67" t="n"/>
      <c r="J34" s="67" t="n"/>
      <c r="K34" s="68" t="n"/>
    </row>
    <row r="35" ht="16" customHeight="1">
      <c r="B35" s="33" t="inlineStr">
        <is>
          <t>Terminal Growth Rate (g)</t>
        </is>
      </c>
      <c r="C35" s="99" t="n">
        <v>0.03</v>
      </c>
      <c r="D35" s="45" t="inlineStr">
        <is>
          <t>2.5–3.5% range; anchored to long-term nominal GDP growth</t>
        </is>
      </c>
    </row>
    <row r="36" ht="16" customHeight="1">
      <c r="B36" s="33" t="inlineStr">
        <is>
          <t>Terminal UFCF (FY31E)</t>
        </is>
      </c>
      <c r="C36" s="113">
        <f>H27*(1+C35)</f>
        <v/>
      </c>
      <c r="D36" s="45" t="inlineStr">
        <is>
          <t>Terminal year FCF grown at terminal growth rate</t>
        </is>
      </c>
    </row>
    <row r="37" ht="18" customHeight="1">
      <c r="B37" s="114" t="inlineStr">
        <is>
          <t>Terminal Value (Gordon Growth)</t>
        </is>
      </c>
      <c r="C37" s="115">
        <f>C36/(C16-C35)</f>
        <v/>
      </c>
      <c r="D37" s="116" t="inlineStr">
        <is>
          <t>TV = FCF_terminal / (WACC – g) — standard perpetuity growth model</t>
        </is>
      </c>
    </row>
    <row r="38" ht="16" customHeight="1">
      <c r="B38" s="61" t="inlineStr">
        <is>
          <t>PV of Terminal Value</t>
        </is>
      </c>
      <c r="C38" s="62">
        <f>C37/((1+C16)^5)</f>
        <v/>
      </c>
      <c r="D38" s="117" t="inlineStr">
        <is>
          <t>TV discounted back 5 years at WACC</t>
        </is>
      </c>
    </row>
    <row r="39" ht="16" customHeight="1">
      <c r="B39" s="17" t="inlineStr">
        <is>
          <t>% of Total EV from Terminal Value</t>
        </is>
      </c>
      <c r="C39" s="90">
        <f>C38/(C31+C38)</f>
        <v/>
      </c>
      <c r="D39" s="17" t="inlineStr">
        <is>
          <t>Should be &lt; 75% for a valid model (flag if &gt;75%)</t>
        </is>
      </c>
    </row>
    <row r="40" ht="8" customHeight="1"/>
    <row r="41" ht="16" customHeight="1">
      <c r="B41" s="33" t="inlineStr">
        <is>
          <t>Exit Multiple Method — EV/EBITDA Multiple</t>
        </is>
      </c>
      <c r="C41" s="118" t="n">
        <v>15</v>
      </c>
      <c r="D41" s="45" t="inlineStr">
        <is>
          <t>Conservative: peers trade 17–52x EV/EBITDA TTM; using 15x (QCOM discount)</t>
        </is>
      </c>
    </row>
    <row r="42" ht="16" customHeight="1">
      <c r="B42" s="33" t="inlineStr">
        <is>
          <t>Terminal EBITDA</t>
        </is>
      </c>
      <c r="C42" s="47" t="n">
        <v>22633</v>
      </c>
      <c r="D42" s="45" t="inlineStr">
        <is>
          <t>FY2030E Adj. EBITDA ($M)</t>
        </is>
      </c>
    </row>
    <row r="43" ht="18" customHeight="1">
      <c r="B43" s="9" t="inlineStr">
        <is>
          <t>Exit Multiple TV (cross-check)</t>
        </is>
      </c>
      <c r="C43" s="88">
        <f>C42*C41/((1+C16)^5)</f>
        <v/>
      </c>
      <c r="D43" s="17" t="inlineStr">
        <is>
          <t>PV of (Terminal EBITDA × Exit Multiple) — cross-check vs. Gordon Growth</t>
        </is>
      </c>
    </row>
  </sheetData>
  <mergeCells count="38">
    <mergeCell ref="I16:K16"/>
    <mergeCell ref="D11:F11"/>
    <mergeCell ref="D13:F13"/>
    <mergeCell ref="I12:K12"/>
    <mergeCell ref="D7:F7"/>
    <mergeCell ref="B33:K33"/>
    <mergeCell ref="D16:F16"/>
    <mergeCell ref="D36:K36"/>
    <mergeCell ref="I14:K14"/>
    <mergeCell ref="D12:F12"/>
    <mergeCell ref="I8:K8"/>
    <mergeCell ref="D9:F9"/>
    <mergeCell ref="C31:G31"/>
    <mergeCell ref="D41:K41"/>
    <mergeCell ref="D8:F8"/>
    <mergeCell ref="D15:F15"/>
    <mergeCell ref="B3:K3"/>
    <mergeCell ref="D14:F14"/>
    <mergeCell ref="I10:K10"/>
    <mergeCell ref="I13:K13"/>
    <mergeCell ref="D43:K43"/>
    <mergeCell ref="I9:K9"/>
    <mergeCell ref="G5:K5"/>
    <mergeCell ref="B2:K2"/>
    <mergeCell ref="D37:K37"/>
    <mergeCell ref="I15:K15"/>
    <mergeCell ref="I6:K6"/>
    <mergeCell ref="D10:F10"/>
    <mergeCell ref="I11:K11"/>
    <mergeCell ref="D39:K39"/>
    <mergeCell ref="B5:F5"/>
    <mergeCell ref="E34:K34"/>
    <mergeCell ref="D38:K38"/>
    <mergeCell ref="D42:K42"/>
    <mergeCell ref="D6:F6"/>
    <mergeCell ref="I7:K7"/>
    <mergeCell ref="B19:K19"/>
    <mergeCell ref="D35:K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3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 ht="30" customHeight="1">
      <c r="B2" s="1" t="inlineStr">
        <is>
          <t>QUALCOMM (QCOM) — SENSITIVITY &amp; SCENARIO ANALYSIS</t>
        </is>
      </c>
    </row>
    <row r="3" ht="16" customHeight="1">
      <c r="B3" s="2" t="inlineStr">
        <is>
          <t>Table 1: WACC × Terminal Growth Rate | Table 2: Revenue Growth × EBITDA Margin | Table 3: Bull/Base/Bear Scenarios</t>
        </is>
      </c>
    </row>
    <row r="5" ht="18" customHeight="1">
      <c r="B5" s="6" t="inlineStr">
        <is>
          <t>TABLE 1: WACC × Terminal Growth Rate → Implied Share Price ($)</t>
        </is>
      </c>
    </row>
    <row r="6" ht="16" customHeight="1">
      <c r="B6" s="119" t="inlineStr">
        <is>
          <t>WACC \ g →</t>
        </is>
      </c>
      <c r="C6" s="120" t="n">
        <v>0.015</v>
      </c>
      <c r="D6" s="120" t="n">
        <v>0.02</v>
      </c>
      <c r="E6" s="120" t="n">
        <v>0.025</v>
      </c>
      <c r="F6" s="120" t="n">
        <v>0.03</v>
      </c>
      <c r="G6" s="120" t="n">
        <v>0.035</v>
      </c>
      <c r="H6" s="120" t="n">
        <v>0.04</v>
      </c>
    </row>
    <row r="7" ht="18" customHeight="1">
      <c r="B7" s="121" t="n">
        <v>0.08500000000000001</v>
      </c>
      <c r="C7" s="122" t="n">
        <v>213.21</v>
      </c>
      <c r="D7" s="122" t="n">
        <v>226.84</v>
      </c>
      <c r="E7" s="122" t="n">
        <v>242.74</v>
      </c>
      <c r="F7" s="122" t="n">
        <v>261.53</v>
      </c>
      <c r="G7" s="122" t="n">
        <v>284.07</v>
      </c>
      <c r="H7" s="122" t="n">
        <v>311.63</v>
      </c>
    </row>
    <row r="8" ht="18" customHeight="1">
      <c r="B8" s="121" t="n">
        <v>0.095</v>
      </c>
      <c r="C8" s="123" t="n">
        <v>184.57</v>
      </c>
      <c r="D8" s="123" t="n">
        <v>194.53</v>
      </c>
      <c r="E8" s="123" t="n">
        <v>205.92</v>
      </c>
      <c r="F8" s="123" t="n">
        <v>219.05</v>
      </c>
      <c r="G8" s="123" t="n">
        <v>234.38</v>
      </c>
      <c r="H8" s="123" t="n">
        <v>252.49</v>
      </c>
    </row>
    <row r="9" ht="18" customHeight="1">
      <c r="B9" s="124" t="inlineStr">
        <is>
          <t>10.7% ← BASE</t>
        </is>
      </c>
      <c r="C9" s="125" t="n">
        <v>158.49</v>
      </c>
      <c r="D9" s="125" t="n">
        <v>165.64</v>
      </c>
      <c r="E9" s="125" t="n">
        <v>173.66</v>
      </c>
      <c r="F9" s="126" t="n">
        <v>182.72</v>
      </c>
      <c r="G9" s="125" t="n">
        <v>193.04</v>
      </c>
      <c r="H9" s="125" t="n">
        <v>204.9</v>
      </c>
    </row>
    <row r="10" ht="18" customHeight="1">
      <c r="B10" s="121" t="n">
        <v>0.115</v>
      </c>
      <c r="C10" s="123" t="n">
        <v>144.61</v>
      </c>
      <c r="D10" s="123" t="n">
        <v>150.46</v>
      </c>
      <c r="E10" s="123" t="n">
        <v>156.96</v>
      </c>
      <c r="F10" s="123" t="n">
        <v>164.23</v>
      </c>
      <c r="G10" s="123" t="n">
        <v>172.41</v>
      </c>
      <c r="H10" s="123" t="n">
        <v>181.67</v>
      </c>
    </row>
    <row r="11" ht="18" customHeight="1">
      <c r="B11" s="121" t="n">
        <v>0.125</v>
      </c>
      <c r="C11" s="122" t="n">
        <v>130.14</v>
      </c>
      <c r="D11" s="122" t="n">
        <v>134.78</v>
      </c>
      <c r="E11" s="122" t="n">
        <v>139.89</v>
      </c>
      <c r="F11" s="122" t="n">
        <v>145.54</v>
      </c>
      <c r="G11" s="122" t="n">
        <v>151.81</v>
      </c>
      <c r="H11" s="122" t="n">
        <v>158.82</v>
      </c>
    </row>
    <row r="13" ht="8" customHeight="1"/>
    <row r="14" ht="18" customHeight="1">
      <c r="B14" s="6" t="inlineStr">
        <is>
          <t>TABLE 2: FY2028E Revenue Growth × EBITDA Margin → Implied Share Price ($) [EV/EBITDA @ 14x]</t>
        </is>
      </c>
    </row>
    <row r="15" ht="16" customHeight="1">
      <c r="B15" s="119" t="inlineStr">
        <is>
          <t>Rev. Growth \ EBITDA%</t>
        </is>
      </c>
      <c r="C15" s="120" t="n">
        <v>0.28</v>
      </c>
      <c r="D15" s="120" t="n">
        <v>0.31</v>
      </c>
      <c r="E15" s="120" t="n">
        <v>0.34</v>
      </c>
      <c r="F15" s="120" t="n">
        <v>0.36</v>
      </c>
      <c r="G15" s="120" t="n">
        <v>0.4</v>
      </c>
    </row>
    <row r="16" ht="18" customHeight="1">
      <c r="B16" s="121" t="n">
        <v>-0.05</v>
      </c>
      <c r="C16" s="122" t="n">
        <v>182.61</v>
      </c>
      <c r="D16" s="122" t="n">
        <v>202.59</v>
      </c>
      <c r="E16" s="122" t="n">
        <v>222.58</v>
      </c>
      <c r="F16" s="122" t="n">
        <v>235.91</v>
      </c>
      <c r="G16" s="122" t="n">
        <v>262.55</v>
      </c>
    </row>
    <row r="17" ht="18" customHeight="1">
      <c r="B17" s="121" t="n">
        <v>0</v>
      </c>
      <c r="C17" s="123" t="n">
        <v>192.42</v>
      </c>
      <c r="D17" s="123" t="n">
        <v>213.46</v>
      </c>
      <c r="E17" s="123" t="n">
        <v>234.5</v>
      </c>
      <c r="F17" s="123" t="n">
        <v>248.53</v>
      </c>
      <c r="G17" s="123" t="n">
        <v>276.58</v>
      </c>
    </row>
    <row r="18" ht="18" customHeight="1">
      <c r="B18" s="121" t="n">
        <v>0.05</v>
      </c>
      <c r="C18" s="122" t="n">
        <v>202.24</v>
      </c>
      <c r="D18" s="122" t="n">
        <v>224.33</v>
      </c>
      <c r="E18" s="122" t="n">
        <v>246.42</v>
      </c>
      <c r="F18" s="122" t="n">
        <v>261.15</v>
      </c>
      <c r="G18" s="122" t="n">
        <v>290.61</v>
      </c>
    </row>
    <row r="19" ht="18" customHeight="1">
      <c r="B19" s="124" t="n">
        <v>0.09</v>
      </c>
      <c r="C19" s="125" t="n">
        <v>210.1</v>
      </c>
      <c r="D19" s="125" t="n">
        <v>233.03</v>
      </c>
      <c r="E19" s="126" t="n">
        <v>255.96</v>
      </c>
      <c r="F19" s="125" t="n">
        <v>271.25</v>
      </c>
      <c r="G19" s="125" t="n">
        <v>301.83</v>
      </c>
    </row>
    <row r="20" ht="18" customHeight="1">
      <c r="B20" s="121" t="n">
        <v>0.15</v>
      </c>
      <c r="C20" s="122" t="n">
        <v>221.88</v>
      </c>
      <c r="D20" s="122" t="n">
        <v>246.07</v>
      </c>
      <c r="E20" s="122" t="n">
        <v>270.27</v>
      </c>
      <c r="F20" s="122" t="n">
        <v>286.4</v>
      </c>
      <c r="G20" s="122" t="n">
        <v>318.66</v>
      </c>
    </row>
    <row r="22" ht="8" customHeight="1"/>
    <row r="23" ht="18" customHeight="1">
      <c r="B23" s="6" t="inlineStr">
        <is>
          <t>TABLE 3: BULL / BASE / BEAR SCENARIO COMPARISON</t>
        </is>
      </c>
    </row>
    <row r="24" ht="20" customHeight="1">
      <c r="B24" s="11" t="inlineStr">
        <is>
          <t>Metric</t>
        </is>
      </c>
      <c r="C24" s="11" t="inlineStr">
        <is>
          <t>BULL</t>
        </is>
      </c>
      <c r="D24" s="68" t="n"/>
      <c r="E24" s="11" t="inlineStr">
        <is>
          <t>BASE</t>
        </is>
      </c>
      <c r="F24" s="68" t="n"/>
      <c r="G24" s="11" t="inlineStr">
        <is>
          <t>BEAR</t>
        </is>
      </c>
      <c r="H24" s="68" t="n"/>
    </row>
    <row r="25" ht="20" customHeight="1">
      <c r="B25" s="7" t="inlineStr">
        <is>
          <t>FY2026E Revenue ($M)</t>
        </is>
      </c>
      <c r="C25" s="70" t="n">
        <v>45500</v>
      </c>
      <c r="D25" s="127" t="inlineStr">
        <is>
          <t>+2% vs Base</t>
        </is>
      </c>
      <c r="E25" s="128" t="n">
        <v>48009</v>
      </c>
      <c r="F25" s="129" t="inlineStr">
        <is>
          <t>Consensus</t>
        </is>
      </c>
      <c r="G25" s="76" t="n">
        <v>38000</v>
      </c>
      <c r="H25" s="130" t="inlineStr">
        <is>
          <t>-14% vs Base</t>
        </is>
      </c>
    </row>
    <row r="26" ht="20" customHeight="1">
      <c r="B26" s="9" t="inlineStr">
        <is>
          <t>FY2028E Revenue ($M)</t>
        </is>
      </c>
      <c r="C26" s="70" t="n">
        <v>58000</v>
      </c>
      <c r="D26" s="127" t="inlineStr">
        <is>
          <t>Auto ramp</t>
        </is>
      </c>
      <c r="E26" s="128" t="n">
        <v>59712</v>
      </c>
      <c r="F26" s="129" t="inlineStr">
        <is>
          <t>Base TAM</t>
        </is>
      </c>
      <c r="G26" s="76" t="n">
        <v>34000</v>
      </c>
      <c r="H26" s="130" t="inlineStr">
        <is>
          <t>Apple + China</t>
        </is>
      </c>
    </row>
    <row r="27" ht="20" customHeight="1">
      <c r="B27" s="7" t="inlineStr">
        <is>
          <t>FY2029E Revenue ($M)</t>
        </is>
      </c>
      <c r="C27" s="70" t="n">
        <v>67000</v>
      </c>
      <c r="D27" s="127" t="inlineStr">
        <is>
          <t>$8B auto yr</t>
        </is>
      </c>
      <c r="E27" s="128" t="n">
        <v>67881</v>
      </c>
      <c r="F27" s="129" t="inlineStr">
        <is>
          <t>Mgmt target</t>
        </is>
      </c>
      <c r="G27" s="76" t="n">
        <v>36000</v>
      </c>
      <c r="H27" s="130" t="inlineStr">
        <is>
          <t>Delay 2 yrs</t>
        </is>
      </c>
    </row>
    <row r="28" ht="20" customHeight="1">
      <c r="B28" s="9" t="inlineStr">
        <is>
          <t>FY2028E Adj. EBITDA Margin</t>
        </is>
      </c>
      <c r="C28" s="131" t="n">
        <v>0.38</v>
      </c>
      <c r="D28" s="127" t="inlineStr">
        <is>
          <t>+400bps mix</t>
        </is>
      </c>
      <c r="E28" s="132" t="n">
        <v>0.34</v>
      </c>
      <c r="F28" s="129" t="inlineStr">
        <is>
          <t>Scale benefit</t>
        </is>
      </c>
      <c r="G28" s="133" t="n">
        <v>0.28</v>
      </c>
      <c r="H28" s="130" t="inlineStr">
        <is>
          <t>Mix drag</t>
        </is>
      </c>
    </row>
    <row r="29" ht="20" customHeight="1">
      <c r="B29" s="7" t="inlineStr">
        <is>
          <t>FY2028E Adj. EPS</t>
        </is>
      </c>
      <c r="C29" s="134" t="n">
        <v>16.5</v>
      </c>
      <c r="D29" s="127" t="inlineStr">
        <is>
          <t>Buyback +</t>
        </is>
      </c>
      <c r="E29" s="135" t="n">
        <v>14.35951923076923</v>
      </c>
      <c r="F29" s="129" t="inlineStr">
        <is>
          <t>Base</t>
        </is>
      </c>
      <c r="G29" s="136" t="n">
        <v>8.5</v>
      </c>
      <c r="H29" s="130" t="inlineStr">
        <is>
          <t>Margin collapse</t>
        </is>
      </c>
    </row>
    <row r="30" ht="20" customHeight="1">
      <c r="B30" s="9" t="inlineStr">
        <is>
          <t>FY2028E FCF ($M)</t>
        </is>
      </c>
      <c r="C30" s="70" t="n">
        <v>18000</v>
      </c>
      <c r="D30" s="127" t="inlineStr">
        <is>
          <t>High conv.</t>
        </is>
      </c>
      <c r="E30" s="128" t="n">
        <v>17702</v>
      </c>
      <c r="F30" s="129" t="inlineStr">
        <is>
          <t>Base</t>
        </is>
      </c>
      <c r="G30" s="76" t="n">
        <v>7000</v>
      </c>
      <c r="H30" s="130" t="inlineStr">
        <is>
          <t>WC &amp; CapEx</t>
        </is>
      </c>
    </row>
    <row r="31" ht="20" customHeight="1">
      <c r="B31" s="7" t="inlineStr">
        <is>
          <t>Implied Price Target ($)</t>
        </is>
      </c>
      <c r="C31" s="134" t="n">
        <v>310</v>
      </c>
      <c r="D31" s="127" t="inlineStr">
        <is>
          <t>DCF + 16x</t>
        </is>
      </c>
      <c r="E31" s="135" t="n">
        <v>235</v>
      </c>
      <c r="F31" s="129" t="inlineStr">
        <is>
          <t>50/50 DCF/Comps</t>
        </is>
      </c>
      <c r="G31" s="136" t="n">
        <v>140</v>
      </c>
      <c r="H31" s="130" t="inlineStr">
        <is>
          <t>Distressed 10x</t>
        </is>
      </c>
    </row>
    <row r="32" ht="20" customHeight="1">
      <c r="B32" s="9" t="inlineStr">
        <is>
          <t>Upside / (Downside) to Current</t>
        </is>
      </c>
      <c r="C32" s="131" t="n">
        <v>0.454</v>
      </c>
      <c r="D32" s="127" t="inlineStr">
        <is>
          <t>+45%</t>
        </is>
      </c>
      <c r="E32" s="132" t="n">
        <v>0.102</v>
      </c>
      <c r="F32" s="129" t="inlineStr">
        <is>
          <t>+10%</t>
        </is>
      </c>
      <c r="G32" s="133" t="n">
        <v>-0.343</v>
      </c>
      <c r="H32" s="130" t="inlineStr">
        <is>
          <t>-34%</t>
        </is>
      </c>
    </row>
    <row r="33" ht="20" customHeight="1">
      <c r="B33" s="7" t="inlineStr">
        <is>
          <t>Primary Scenario Driver</t>
        </is>
      </c>
      <c r="C33" s="137" t="inlineStr">
        <is>
          <t>Apple modem retained + auto&gt;$10B</t>
        </is>
      </c>
      <c r="D33" s="127" t="inlineStr"/>
      <c r="E33" s="138" t="inlineStr">
        <is>
          <t>Apple exits FY27; auto/IoT offset</t>
        </is>
      </c>
      <c r="F33" s="129" t="inlineStr"/>
      <c r="G33" s="139" t="inlineStr">
        <is>
          <t>MediaTek + Apple + China hit</t>
        </is>
      </c>
      <c r="H33" s="130" t="inlineStr"/>
    </row>
  </sheetData>
  <mergeCells count="10">
    <mergeCell ref="B2:M2"/>
    <mergeCell ref="C24:D24"/>
    <mergeCell ref="B3:M3"/>
    <mergeCell ref="E24:F24"/>
    <mergeCell ref="G24:H24"/>
    <mergeCell ref="B15"/>
    <mergeCell ref="B23:M23"/>
    <mergeCell ref="B6"/>
    <mergeCell ref="B5:I5"/>
    <mergeCell ref="B14:I14"/>
  </mergeCells>
  <conditionalFormatting sqref="C7:H11">
    <cfRule type="colorScale" priority="1">
      <colorScale>
        <cfvo type="min"/>
        <cfvo type="num" val="213"/>
        <cfvo type="max"/>
        <color rgb="00FFC7CE"/>
        <color rgb="00FFEB9C"/>
        <color rgb="00C6EFCE"/>
      </colorScale>
    </cfRule>
  </conditionalFormatting>
  <conditionalFormatting sqref="C16:G20">
    <cfRule type="colorScale" priority="1">
      <colorScale>
        <cfvo type="min"/>
        <cfvo type="num" val="213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3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2" ht="30" customHeight="1">
      <c r="B2" s="1" t="inlineStr">
        <is>
          <t>QUALCOMM (QCOM) — COMPARABLE COMPANY ANALYSIS</t>
        </is>
      </c>
    </row>
    <row r="3" ht="16" customHeight="1">
      <c r="B3" s="2" t="inlineStr">
        <is>
          <t>Semiconductor peers | TTM multiples as of 13-May-2026 | Source: Perplexity Finance / Company Filings</t>
        </is>
      </c>
    </row>
    <row r="5" ht="18" customHeight="1">
      <c r="B5" s="6" t="inlineStr">
        <is>
          <t>PEER TRADING MULTIPLES — TTM</t>
        </is>
      </c>
    </row>
    <row r="6" ht="20" customHeight="1">
      <c r="B6" s="11" t="inlineStr">
        <is>
          <t>Company</t>
        </is>
      </c>
      <c r="C6" s="11" t="inlineStr">
        <is>
          <t>Ticker</t>
        </is>
      </c>
      <c r="D6" s="11" t="inlineStr">
        <is>
          <t>Mkt Cap ($B)</t>
        </is>
      </c>
      <c r="E6" s="11" t="inlineStr">
        <is>
          <t>P/E (TTM)</t>
        </is>
      </c>
      <c r="F6" s="11" t="inlineStr">
        <is>
          <t>EV/EBITDA</t>
        </is>
      </c>
      <c r="G6" s="11" t="inlineStr">
        <is>
          <t>P/S (TTM)</t>
        </is>
      </c>
      <c r="H6" s="11" t="inlineStr">
        <is>
          <t>Gross Margin</t>
        </is>
      </c>
      <c r="I6" s="11" t="inlineStr">
        <is>
          <t>FCF Margin</t>
        </is>
      </c>
      <c r="J6" s="11" t="inlineStr">
        <is>
          <t>Rating</t>
        </is>
      </c>
      <c r="K6" s="11" t="inlineStr">
        <is>
          <t>Analyst PT ($)</t>
        </is>
      </c>
      <c r="L6" s="11" t="inlineStr">
        <is>
          <t>Notes</t>
        </is>
      </c>
    </row>
    <row r="7" ht="18" customHeight="1">
      <c r="B7" s="140" t="inlineStr">
        <is>
          <t>NVIDIA Corp.</t>
        </is>
      </c>
      <c r="C7" s="141" t="inlineStr">
        <is>
          <t>NVDA</t>
        </is>
      </c>
      <c r="D7" s="142" t="n">
        <v>5499.1</v>
      </c>
      <c r="E7" s="143" t="n">
        <v>45.8</v>
      </c>
      <c r="F7" s="143" t="n">
        <v>38</v>
      </c>
      <c r="G7" s="143" t="n">
        <v>25.5</v>
      </c>
      <c r="H7" s="144" t="n">
        <v>0.71</v>
      </c>
      <c r="I7" s="144" t="n">
        <v>0.467</v>
      </c>
      <c r="J7" s="145" t="inlineStr">
        <is>
          <t>BUY</t>
        </is>
      </c>
      <c r="K7" s="146" t="inlineStr">
        <is>
          <t>—</t>
        </is>
      </c>
      <c r="L7" s="101" t="inlineStr">
        <is>
          <t>AI compute monopolist; structural demand</t>
        </is>
      </c>
    </row>
    <row r="8" ht="18" customHeight="1">
      <c r="B8" s="147" t="inlineStr">
        <is>
          <t>Broadcom Inc.</t>
        </is>
      </c>
      <c r="C8" s="148" t="inlineStr">
        <is>
          <t>AVGO</t>
        </is>
      </c>
      <c r="D8" s="149" t="n">
        <v>1977.2</v>
      </c>
      <c r="E8" s="150" t="n">
        <v>79.2</v>
      </c>
      <c r="F8" s="150" t="n">
        <v>52.1</v>
      </c>
      <c r="G8" s="150" t="n">
        <v>29</v>
      </c>
      <c r="H8" s="151" t="n">
        <v>0.68</v>
      </c>
      <c r="I8" s="151" t="n">
        <v>0.52</v>
      </c>
      <c r="J8" s="152" t="inlineStr">
        <is>
          <t>BUY</t>
        </is>
      </c>
      <c r="K8" s="153" t="inlineStr">
        <is>
          <t>—</t>
        </is>
      </c>
      <c r="L8" s="102" t="inlineStr">
        <is>
          <t>Custom AI ASIC + VMware software premium</t>
        </is>
      </c>
    </row>
    <row r="9" ht="18" customHeight="1">
      <c r="B9" s="140" t="inlineStr">
        <is>
          <t>AMD</t>
        </is>
      </c>
      <c r="C9" s="141" t="inlineStr">
        <is>
          <t>AMD</t>
        </is>
      </c>
      <c r="D9" s="142" t="n">
        <v>731.3</v>
      </c>
      <c r="E9" s="143" t="n">
        <v>146.5</v>
      </c>
      <c r="F9" s="143" t="n">
        <v>101.7</v>
      </c>
      <c r="G9" s="143" t="n">
        <v>19.5</v>
      </c>
      <c r="H9" s="144" t="n">
        <v>0.5</v>
      </c>
      <c r="I9" s="144" t="n">
        <v>0.12</v>
      </c>
      <c r="J9" s="145" t="inlineStr">
        <is>
          <t>BUY</t>
        </is>
      </c>
      <c r="K9" s="146" t="inlineStr">
        <is>
          <t>—</t>
        </is>
      </c>
      <c r="L9" s="101" t="inlineStr">
        <is>
          <t>Elevated P/E; AI GPU optionality baked in</t>
        </is>
      </c>
    </row>
    <row r="10" ht="18" customHeight="1">
      <c r="B10" s="147" t="inlineStr">
        <is>
          <t>Intel Corp.</t>
        </is>
      </c>
      <c r="C10" s="148" t="inlineStr">
        <is>
          <t>INTC</t>
        </is>
      </c>
      <c r="D10" s="149" t="n">
        <v>605.8</v>
      </c>
      <c r="E10" s="154" t="inlineStr">
        <is>
          <t>NM</t>
        </is>
      </c>
      <c r="F10" s="150" t="n">
        <v>55.6</v>
      </c>
      <c r="G10" s="150" t="n">
        <v>11.3</v>
      </c>
      <c r="H10" s="151" t="n">
        <v>0.35</v>
      </c>
      <c r="I10" s="151" t="n">
        <v>0.1</v>
      </c>
      <c r="J10" s="155" t="inlineStr">
        <is>
          <t>HOLD</t>
        </is>
      </c>
      <c r="K10" s="153" t="inlineStr">
        <is>
          <t>—</t>
        </is>
      </c>
      <c r="L10" s="102" t="inlineStr">
        <is>
          <t>Turnaround; foundry losses; 18A binary risk</t>
        </is>
      </c>
    </row>
    <row r="11" ht="18" customHeight="1">
      <c r="B11" s="140" t="inlineStr">
        <is>
          <t>Texas Instruments</t>
        </is>
      </c>
      <c r="C11" s="141" t="inlineStr">
        <is>
          <t>TXN</t>
        </is>
      </c>
      <c r="D11" s="142" t="n">
        <v>279.3</v>
      </c>
      <c r="E11" s="143" t="n">
        <v>52</v>
      </c>
      <c r="F11" s="143" t="n">
        <v>35.1</v>
      </c>
      <c r="G11" s="143" t="n">
        <v>15.1</v>
      </c>
      <c r="H11" s="144" t="n">
        <v>0.64</v>
      </c>
      <c r="I11" s="144" t="n">
        <v>0.31</v>
      </c>
      <c r="J11" s="145" t="inlineStr">
        <is>
          <t>BUY</t>
        </is>
      </c>
      <c r="K11" s="146" t="inlineStr">
        <is>
          <t>—</t>
        </is>
      </c>
      <c r="L11" s="101" t="inlineStr">
        <is>
          <t>Analog/industrial; highly capital intensive</t>
        </is>
      </c>
    </row>
    <row r="12" ht="18" customHeight="1">
      <c r="B12" s="114" t="inlineStr">
        <is>
          <t>QUALCOMM Inc.</t>
        </is>
      </c>
      <c r="C12" s="156" t="inlineStr">
        <is>
          <t>QCOM</t>
        </is>
      </c>
      <c r="D12" s="157" t="n">
        <v>224.4</v>
      </c>
      <c r="E12" s="158" t="n">
        <v>22.6</v>
      </c>
      <c r="F12" s="158" t="n">
        <v>17.6</v>
      </c>
      <c r="G12" s="158" t="n">
        <v>5</v>
      </c>
      <c r="H12" s="159" t="n">
        <v>0.554</v>
      </c>
      <c r="I12" s="159" t="n">
        <v>0.289</v>
      </c>
      <c r="J12" s="160" t="inlineStr">
        <is>
          <t>HOLD</t>
        </is>
      </c>
      <c r="K12" s="161" t="n">
        <v>178.95</v>
      </c>
      <c r="L12" s="162" t="inlineStr">
        <is>
          <t>← Subject company</t>
        </is>
      </c>
    </row>
    <row r="13" ht="18" customHeight="1">
      <c r="B13" s="140" t="inlineStr">
        <is>
          <t>Marvell Technology</t>
        </is>
      </c>
      <c r="C13" s="141" t="inlineStr">
        <is>
          <t>MRVL</t>
        </is>
      </c>
      <c r="D13" s="142" t="n">
        <v>155.3</v>
      </c>
      <c r="E13" s="143" t="n">
        <v>58.2</v>
      </c>
      <c r="F13" s="143" t="n">
        <v>34.7</v>
      </c>
      <c r="G13" s="143" t="n">
        <v>19</v>
      </c>
      <c r="H13" s="144" t="n">
        <v>0.65</v>
      </c>
      <c r="I13" s="144" t="n">
        <v>0.18</v>
      </c>
      <c r="J13" s="145" t="inlineStr">
        <is>
          <t>BUY</t>
        </is>
      </c>
      <c r="K13" s="146" t="inlineStr">
        <is>
          <t>—</t>
        </is>
      </c>
      <c r="L13" s="101" t="inlineStr">
        <is>
          <t>Data center AI connectivity play</t>
        </is>
      </c>
    </row>
    <row r="14" ht="18" customHeight="1">
      <c r="B14" s="147" t="inlineStr">
        <is>
          <t>Skyworks Solutions</t>
        </is>
      </c>
      <c r="C14" s="148" t="inlineStr">
        <is>
          <t>SWKS</t>
        </is>
      </c>
      <c r="D14" s="149" t="n">
        <v>10.2</v>
      </c>
      <c r="E14" s="150" t="n">
        <v>28.2</v>
      </c>
      <c r="F14" s="150" t="n">
        <v>11.4</v>
      </c>
      <c r="G14" s="150" t="n">
        <v>2.5</v>
      </c>
      <c r="H14" s="151" t="n">
        <v>0.51</v>
      </c>
      <c r="I14" s="151" t="n">
        <v>0.22</v>
      </c>
      <c r="J14" s="152" t="inlineStr">
        <is>
          <t>BUY</t>
        </is>
      </c>
      <c r="K14" s="153" t="inlineStr">
        <is>
          <t>—</t>
        </is>
      </c>
      <c r="L14" s="102" t="inlineStr">
        <is>
          <t>Mobile RF; direct QCOM comparator</t>
        </is>
      </c>
    </row>
    <row r="15" ht="18" customHeight="1">
      <c r="B15" s="140" t="inlineStr">
        <is>
          <t>Qorvo Inc.</t>
        </is>
      </c>
      <c r="C15" s="141" t="inlineStr">
        <is>
          <t>QRVO</t>
        </is>
      </c>
      <c r="D15" s="142" t="n">
        <v>8</v>
      </c>
      <c r="E15" s="143" t="n">
        <v>23.7</v>
      </c>
      <c r="F15" s="143" t="n">
        <v>12.7</v>
      </c>
      <c r="G15" s="143" t="n">
        <v>2.2</v>
      </c>
      <c r="H15" s="144" t="n">
        <v>0.5</v>
      </c>
      <c r="I15" s="144" t="n">
        <v>0.18</v>
      </c>
      <c r="J15" s="163" t="inlineStr">
        <is>
          <t>HOLD</t>
        </is>
      </c>
      <c r="K15" s="146" t="inlineStr">
        <is>
          <t>—</t>
        </is>
      </c>
      <c r="L15" s="101" t="inlineStr">
        <is>
          <t>Mobile RF/5G; best direct comp to QCT</t>
        </is>
      </c>
    </row>
    <row r="16" ht="8" customHeight="1"/>
    <row r="17" ht="18" customHeight="1">
      <c r="B17" s="6" t="inlineStr">
        <is>
          <t>PEER STATISTICS (excl. QCOM, INTC/NM outliers)</t>
        </is>
      </c>
    </row>
    <row r="18" ht="20" customHeight="1">
      <c r="B18" s="11" t="inlineStr">
        <is>
          <t>Statistic</t>
        </is>
      </c>
      <c r="C18" s="11" t="inlineStr">
        <is>
          <t>P/E (TTM)</t>
        </is>
      </c>
      <c r="D18" s="11" t="inlineStr">
        <is>
          <t>EV/EBITDA</t>
        </is>
      </c>
      <c r="E18" s="11" t="inlineStr">
        <is>
          <t>P/S (TTM)</t>
        </is>
      </c>
      <c r="F18" s="11" t="inlineStr">
        <is>
          <t>Gross Margin</t>
        </is>
      </c>
      <c r="G18" s="11" t="inlineStr">
        <is>
          <t>FCF Margin</t>
        </is>
      </c>
    </row>
    <row r="19" ht="16" customHeight="1">
      <c r="B19" s="14" t="inlineStr">
        <is>
          <t>Mean</t>
        </is>
      </c>
      <c r="C19" s="164" t="n">
        <v>47.85</v>
      </c>
      <c r="D19" s="164" t="n">
        <v>30.66666666666667</v>
      </c>
      <c r="E19" s="164" t="n">
        <v>15.55</v>
      </c>
      <c r="F19" s="16" t="n">
        <v>0.615</v>
      </c>
      <c r="G19" s="16" t="n">
        <v>0.3128333333333334</v>
      </c>
    </row>
    <row r="20" ht="16" customHeight="1">
      <c r="B20" s="17" t="inlineStr">
        <is>
          <t>Median</t>
        </is>
      </c>
      <c r="C20" s="165" t="n">
        <v>48.9</v>
      </c>
      <c r="D20" s="165" t="n">
        <v>34.90000000000001</v>
      </c>
      <c r="E20" s="165" t="n">
        <v>17.05</v>
      </c>
      <c r="F20" s="23" t="n">
        <v>0.645</v>
      </c>
      <c r="G20" s="23" t="n">
        <v>0.265</v>
      </c>
    </row>
    <row r="21" ht="16" customHeight="1">
      <c r="B21" s="14" t="inlineStr">
        <is>
          <t>25th Percentile</t>
        </is>
      </c>
      <c r="C21" s="164" t="n">
        <v>28.2</v>
      </c>
      <c r="D21" s="164" t="n">
        <v>12.7</v>
      </c>
      <c r="E21" s="164" t="n">
        <v>2.5</v>
      </c>
      <c r="F21" s="16" t="n">
        <v>0.51</v>
      </c>
      <c r="G21" s="16" t="n">
        <v>0.18</v>
      </c>
    </row>
    <row r="22" ht="16" customHeight="1">
      <c r="B22" s="17" t="inlineStr">
        <is>
          <t>75th Percentile</t>
        </is>
      </c>
      <c r="C22" s="165" t="n">
        <v>58.2</v>
      </c>
      <c r="D22" s="165" t="n">
        <v>38</v>
      </c>
      <c r="E22" s="165" t="n">
        <v>25.5</v>
      </c>
      <c r="F22" s="23" t="n">
        <v>0.68</v>
      </c>
      <c r="G22" s="23" t="n">
        <v>0.467</v>
      </c>
    </row>
    <row r="23" ht="16" customHeight="1">
      <c r="B23" s="166" t="inlineStr">
        <is>
          <t>QCOM (Subject)</t>
        </is>
      </c>
      <c r="C23" s="167" t="n">
        <v>22.6</v>
      </c>
      <c r="D23" s="167" t="n">
        <v>17.6</v>
      </c>
      <c r="E23" s="167" t="n">
        <v>5</v>
      </c>
      <c r="F23" s="168" t="n">
        <v>0.554</v>
      </c>
      <c r="G23" s="168" t="n">
        <v>0.289</v>
      </c>
    </row>
    <row r="24" ht="16" customHeight="1">
      <c r="B24" s="166" t="inlineStr">
        <is>
          <t>QCOM Premium/(Discount)</t>
        </is>
      </c>
      <c r="C24" s="169" t="n">
        <v>-0.5378323108384457</v>
      </c>
      <c r="D24" s="169" t="n">
        <v>-0.4957020057306591</v>
      </c>
      <c r="E24" s="169" t="n">
        <v>-0.7067448680351907</v>
      </c>
      <c r="F24" s="169" t="n">
        <v>-0.1410852713178294</v>
      </c>
      <c r="G24" s="170" t="n">
        <v>0.09056603773584893</v>
      </c>
    </row>
    <row r="26" ht="8" customHeight="1"/>
    <row r="27" ht="18" customHeight="1">
      <c r="B27" s="6" t="inlineStr">
        <is>
          <t>COMPS-IMPLIED SHARE PRICE FOR QCOM (FY2026E Forward Estimates)</t>
        </is>
      </c>
    </row>
    <row r="28" ht="20" customHeight="1">
      <c r="B28" s="11" t="inlineStr">
        <is>
          <t>Method</t>
        </is>
      </c>
      <c r="C28" s="11" t="inlineStr">
        <is>
          <t>Multiple Applied</t>
        </is>
      </c>
      <c r="D28" s="11" t="inlineStr">
        <is>
          <t>QCOM FY26E Metric</t>
        </is>
      </c>
      <c r="E28" s="11" t="inlineStr">
        <is>
          <t>Implied EV ($M)</t>
        </is>
      </c>
      <c r="F28" s="11" t="inlineStr">
        <is>
          <t>Implied Price ($)</t>
        </is>
      </c>
      <c r="G28" s="11" t="inlineStr">
        <is>
          <t>Upside / (Downside)</t>
        </is>
      </c>
      <c r="H28" s="11" t="inlineStr">
        <is>
          <t>Weight</t>
        </is>
      </c>
    </row>
    <row r="29" ht="20" customHeight="1">
      <c r="B29" s="14" t="inlineStr">
        <is>
          <t>P/E (Peer Median × 55% disc.)</t>
        </is>
      </c>
      <c r="C29" s="15" t="inlineStr">
        <is>
          <t>48.9x × 55% = 26.9x</t>
        </is>
      </c>
      <c r="D29" s="15" t="inlineStr">
        <is>
          <t>FY26E NI $13.6B</t>
        </is>
      </c>
      <c r="E29" s="171" t="n">
        <v>366391</v>
      </c>
      <c r="F29" s="172" t="n">
        <v>343.35</v>
      </c>
      <c r="G29" s="173" t="n">
        <v>0.611</v>
      </c>
      <c r="H29" s="174" t="n">
        <v>0.3</v>
      </c>
    </row>
    <row r="30" ht="20" customHeight="1">
      <c r="B30" s="17" t="inlineStr">
        <is>
          <t>EV/EBITDA (14.0x sector adj.)</t>
        </is>
      </c>
      <c r="C30" s="20" t="inlineStr">
        <is>
          <t>14.0x</t>
        </is>
      </c>
      <c r="D30" s="20" t="inlineStr">
        <is>
          <t>FY26E EBITDA $15.0B</t>
        </is>
      </c>
      <c r="E30" s="18" t="n">
        <v>210588</v>
      </c>
      <c r="F30" s="175" t="n">
        <v>195.67</v>
      </c>
      <c r="G30" s="176" t="n">
        <v>-0.082</v>
      </c>
      <c r="H30" s="177" t="n">
        <v>0.5</v>
      </c>
    </row>
    <row r="31" ht="20" customHeight="1">
      <c r="B31" s="14" t="inlineStr">
        <is>
          <t>P/S (5.5x, QCOM-specific)</t>
        </is>
      </c>
      <c r="C31" s="15" t="inlineStr">
        <is>
          <t>5.5x</t>
        </is>
      </c>
      <c r="D31" s="15" t="inlineStr">
        <is>
          <t>FY26E Revenue $42.5B</t>
        </is>
      </c>
      <c r="E31" s="171" t="n">
        <v>233508</v>
      </c>
      <c r="F31" s="172" t="n">
        <v>217.4</v>
      </c>
      <c r="G31" s="173" t="n">
        <v>0.02</v>
      </c>
      <c r="H31" s="174" t="n">
        <v>0.2</v>
      </c>
    </row>
    <row r="32" ht="20" customHeight="1">
      <c r="B32" s="61" t="inlineStr">
        <is>
          <t>Comps Weighted Average</t>
        </is>
      </c>
      <c r="C32" s="178" t="inlineStr">
        <is>
          <t>Weights: 50/30/20</t>
        </is>
      </c>
      <c r="D32" s="178" t="inlineStr">
        <is>
          <t>—</t>
        </is>
      </c>
      <c r="E32" s="179" t="inlineStr">
        <is>
          <t>—</t>
        </is>
      </c>
      <c r="F32" s="106" t="n">
        <v>244.32</v>
      </c>
      <c r="G32" s="108" t="n">
        <v>0.146</v>
      </c>
      <c r="H32" s="180" t="n">
        <v>1</v>
      </c>
    </row>
    <row r="34" ht="8" customHeight="1"/>
    <row r="35" ht="18" customHeight="1">
      <c r="B35" s="6" t="inlineStr">
        <is>
          <t>FINAL PRICE TARGET DERIVATION</t>
        </is>
      </c>
    </row>
    <row r="36" ht="20" customHeight="1">
      <c r="B36" s="119" t="inlineStr">
        <is>
          <t>Method</t>
        </is>
      </c>
      <c r="C36" s="119" t="inlineStr">
        <is>
          <t>Implied Price ($)</t>
        </is>
      </c>
      <c r="E36" s="119" t="inlineStr">
        <is>
          <t>Weight</t>
        </is>
      </c>
      <c r="F36" s="119" t="inlineStr">
        <is>
          <t>Weighted Price ($)</t>
        </is>
      </c>
    </row>
    <row r="37" ht="18" customHeight="1">
      <c r="B37" s="14" t="inlineStr">
        <is>
          <t>DCF Implied Price</t>
        </is>
      </c>
      <c r="C37" s="105" t="n">
        <v>182.72</v>
      </c>
      <c r="E37" s="181" t="n">
        <v>0.5</v>
      </c>
      <c r="F37" s="182" t="n">
        <v>91.36</v>
      </c>
    </row>
    <row r="38" ht="18" customHeight="1">
      <c r="B38" s="17" t="inlineStr">
        <is>
          <t>Comps Weighted Avg Price</t>
        </is>
      </c>
      <c r="C38" s="91" t="n">
        <v>244.32</v>
      </c>
      <c r="E38" s="183" t="n">
        <v>0.5</v>
      </c>
      <c r="F38" s="92" t="n">
        <v>122.16</v>
      </c>
    </row>
    <row r="39" ht="22" customHeight="1">
      <c r="B39" s="184" t="inlineStr">
        <is>
          <t>FINAL PRICE TARGET</t>
        </is>
      </c>
      <c r="C39" s="185" t="n">
        <v>235</v>
      </c>
      <c r="E39" s="186" t="inlineStr">
        <is>
          <t>Upside to Current:</t>
        </is>
      </c>
      <c r="F39" s="187" t="n">
        <v>0.102</v>
      </c>
      <c r="H39" s="188" t="inlineStr">
        <is>
          <t>→ RATING: BUY</t>
        </is>
      </c>
    </row>
  </sheetData>
  <mergeCells count="25">
    <mergeCell ref="B35:L35"/>
    <mergeCell ref="L9"/>
    <mergeCell ref="B3:L3"/>
    <mergeCell ref="L11"/>
    <mergeCell ref="B27:L27"/>
    <mergeCell ref="H39:L39"/>
    <mergeCell ref="B2:L2"/>
    <mergeCell ref="L7"/>
    <mergeCell ref="F36:G36"/>
    <mergeCell ref="B17:L17"/>
    <mergeCell ref="E39"/>
    <mergeCell ref="L13"/>
    <mergeCell ref="F38:G38"/>
    <mergeCell ref="L12"/>
    <mergeCell ref="C36:D36"/>
    <mergeCell ref="L15"/>
    <mergeCell ref="C39:D39"/>
    <mergeCell ref="L14"/>
    <mergeCell ref="F37:G37"/>
    <mergeCell ref="F39:G39"/>
    <mergeCell ref="C38:D38"/>
    <mergeCell ref="L8"/>
    <mergeCell ref="C37:D37"/>
    <mergeCell ref="B5:L5"/>
    <mergeCell ref="L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2026-05-13T21:16:04Z</dcterms:created>
  <dcterms:modified xmlns:dcterms="http://purl.org/dc/terms/" xmlns:xsi="http://www.w3.org/2001/XMLSchema-instance" xsi:type="dcterms:W3CDTF">2026-05-13T21:25:27Z</dcterms:modified>
</cp:coreProperties>
</file>