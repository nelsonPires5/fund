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Summary" sheetId="1" state="visible" r:id="rId1"/>
    <sheet xmlns:r="http://schemas.openxmlformats.org/officeDocument/2006/relationships" name="2. Revenue Model" sheetId="2" state="visible" r:id="rId2"/>
    <sheet xmlns:r="http://schemas.openxmlformats.org/officeDocument/2006/relationships" name="3. Income Statement" sheetId="3" state="visible" r:id="rId3"/>
    <sheet xmlns:r="http://schemas.openxmlformats.org/officeDocument/2006/relationships" name="4. Balance Sheet" sheetId="4" state="visible" r:id="rId4"/>
    <sheet xmlns:r="http://schemas.openxmlformats.org/officeDocument/2006/relationships" name="5. Cash Flow" sheetId="5" state="visible" r:id="rId5"/>
    <sheet xmlns:r="http://schemas.openxmlformats.org/officeDocument/2006/relationships" name="6. DCF Valuation" sheetId="6" state="visible" r:id="rId6"/>
    <sheet xmlns:r="http://schemas.openxmlformats.org/officeDocument/2006/relationships" name="7. Sensitivity" sheetId="7" state="visible" r:id="rId7"/>
    <sheet xmlns:r="http://schemas.openxmlformats.org/officeDocument/2006/relationships" name="8. Comps" sheetId="8" state="visible" r:id="rId8"/>
    <sheet xmlns:r="http://schemas.openxmlformats.org/officeDocument/2006/relationships" name="9. Thesis Tracker" sheetId="9" state="visible" r:id="rId9"/>
    <sheet xmlns:r="http://schemas.openxmlformats.org/officeDocument/2006/relationships" name="10. Valuation &amp; Assump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.0%"/>
    <numFmt numFmtId="165" formatCode="$#,##0.00"/>
    <numFmt numFmtId="166" formatCode="#,##0.0"/>
    <numFmt numFmtId="167" formatCode="0.0x"/>
    <numFmt numFmtId="168" formatCode="0.0000"/>
    <numFmt numFmtId="169" formatCode="$#,##0"/>
    <numFmt numFmtId="170" formatCode="$#,##0\ &quot;B&quot;"/>
    <numFmt numFmtId="171" formatCode="$#,##0.0"/>
  </numFmts>
  <fonts count="21">
    <font>
      <name val="Calibri"/>
      <family val="2"/>
      <color theme="1"/>
      <sz val="11"/>
      <scheme val="minor"/>
    </font>
    <font>
      <name val="Calibri"/>
      <b val="1"/>
      <color rgb="001F3864"/>
      <sz val="18"/>
    </font>
    <font>
      <name val="Calibri"/>
      <b val="1"/>
      <color rgb="00FFFFFF"/>
      <sz val="13"/>
    </font>
    <font>
      <name val="Calibri"/>
      <color rgb="00595959"/>
      <sz val="10"/>
    </font>
    <font>
      <name val="Calibri"/>
      <b val="1"/>
      <color rgb="00FFFFFF"/>
      <sz val="12"/>
    </font>
    <font>
      <name val="Calibri"/>
      <color rgb="00000000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i val="1"/>
      <color rgb="00595959"/>
      <sz val="8"/>
    </font>
    <font>
      <name val="Calibri"/>
      <b val="1"/>
      <color rgb="001F3864"/>
      <sz val="14"/>
    </font>
    <font>
      <name val="Calibri"/>
      <i val="1"/>
      <color rgb="00595959"/>
      <sz val="9"/>
    </font>
    <font>
      <name val="Calibri"/>
      <b val="1"/>
      <color rgb="001F3864"/>
      <sz val="10"/>
    </font>
    <font>
      <name val="Calibri"/>
      <color rgb="000000FF"/>
      <sz val="10"/>
    </font>
    <font>
      <name val="Calibri"/>
      <b val="1"/>
      <color rgb="00000000"/>
      <sz val="11"/>
    </font>
    <font>
      <name val="Calibri"/>
      <b val="1"/>
      <sz val="10"/>
    </font>
    <font>
      <name val="Calibri"/>
      <i val="1"/>
      <sz val="9"/>
    </font>
    <font>
      <name val="Calibri"/>
      <b val="1"/>
      <sz val="12"/>
    </font>
    <font>
      <name val="Calibri"/>
      <i val="1"/>
      <color rgb="00595959"/>
      <sz val="10"/>
    </font>
    <font>
      <name val="Calibri"/>
      <sz val="10"/>
    </font>
    <font>
      <name val="Calibri"/>
      <color rgb="00CC0000"/>
      <sz val="10"/>
    </font>
    <font>
      <name val="Calibri"/>
      <color rgb="00375623"/>
      <sz val="10"/>
    </font>
  </fonts>
  <fills count="21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E2EFDA"/>
      </patternFill>
    </fill>
    <fill>
      <patternFill patternType="solid">
        <fgColor rgb="00833C00"/>
      </patternFill>
    </fill>
    <fill>
      <patternFill patternType="solid">
        <fgColor rgb="00FFDCE1"/>
      </patternFill>
    </fill>
    <fill>
      <patternFill patternType="solid">
        <fgColor rgb="00FFF2CC"/>
      </patternFill>
    </fill>
    <fill>
      <patternFill patternType="solid">
        <fgColor rgb="007030A0"/>
      </patternFill>
    </fill>
    <fill>
      <patternFill patternType="solid">
        <fgColor rgb="00D9E1F2"/>
      </patternFill>
    </fill>
    <fill>
      <patternFill patternType="solid">
        <fgColor rgb="00DAEEF3"/>
      </patternFill>
    </fill>
    <fill>
      <patternFill patternType="solid">
        <fgColor rgb="00FCE4D6"/>
      </patternFill>
    </fill>
    <fill>
      <patternFill patternType="solid">
        <fgColor rgb="00FFD700"/>
      </patternFill>
    </fill>
    <fill>
      <patternFill patternType="solid">
        <fgColor rgb="00F2F2F2"/>
      </patternFill>
    </fill>
    <fill>
      <patternFill patternType="solid">
        <fgColor rgb="00F0E6FF"/>
      </patternFill>
    </fill>
    <fill>
      <patternFill patternType="solid">
        <fgColor rgb="00E8F5E9"/>
      </patternFill>
    </fill>
    <fill>
      <patternFill patternType="solid">
        <fgColor rgb="00F5EEF8"/>
      </patternFill>
    </fill>
    <fill>
      <patternFill patternType="solid">
        <fgColor rgb="00FFF9F0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0" fontId="4" fillId="3" borderId="0" applyAlignment="1" pivotButton="0" quotePrefix="0" xfId="0">
      <alignment horizontal="left" vertical="center" indent="1"/>
    </xf>
    <xf numFmtId="0" fontId="5" fillId="4" borderId="0" applyAlignment="1" pivotButton="0" quotePrefix="0" xfId="0">
      <alignment horizontal="left" vertical="center" wrapText="1" indent="2"/>
    </xf>
    <xf numFmtId="0" fontId="6" fillId="3" borderId="0" applyAlignment="1" pivotButton="0" quotePrefix="0" xfId="0">
      <alignment horizontal="left" vertical="center" indent="1"/>
    </xf>
    <xf numFmtId="0" fontId="6" fillId="3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indent="1"/>
    </xf>
    <xf numFmtId="3" fontId="5" fillId="5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0" fontId="7" fillId="5" borderId="0" applyAlignment="1" pivotButton="0" quotePrefix="0" xfId="0">
      <alignment horizontal="right" vertical="center"/>
    </xf>
    <xf numFmtId="165" fontId="5" fillId="5" borderId="0" applyAlignment="1" pivotButton="0" quotePrefix="0" xfId="0">
      <alignment horizontal="right" vertical="center"/>
    </xf>
    <xf numFmtId="3" fontId="5" fillId="0" borderId="0" applyAlignment="1" pivotButton="0" quotePrefix="0" xfId="0">
      <alignment horizontal="right" vertical="center"/>
    </xf>
    <xf numFmtId="164" fontId="5" fillId="5" borderId="0" applyAlignment="1" pivotButton="0" quotePrefix="0" xfId="0">
      <alignment horizontal="right" vertical="center"/>
    </xf>
    <xf numFmtId="0" fontId="6" fillId="2" borderId="0" applyAlignment="1" pivotButton="0" quotePrefix="0" xfId="0">
      <alignment horizontal="left" vertical="center" indent="1"/>
    </xf>
    <xf numFmtId="0" fontId="6" fillId="6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indent="1"/>
    </xf>
    <xf numFmtId="0" fontId="5" fillId="4" borderId="0" applyAlignment="1" pivotButton="0" quotePrefix="0" xfId="0">
      <alignment horizontal="left" vertical="center" wrapText="1" indent="1"/>
    </xf>
    <xf numFmtId="0" fontId="0" fillId="4" borderId="0" pivotButton="0" quotePrefix="0" xfId="0"/>
    <xf numFmtId="0" fontId="7" fillId="7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 indent="1"/>
    </xf>
    <xf numFmtId="0" fontId="7" fillId="8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center" vertical="center" wrapText="1"/>
    </xf>
    <xf numFmtId="0" fontId="11" fillId="10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indent="4"/>
    </xf>
    <xf numFmtId="3" fontId="12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indent="4"/>
    </xf>
    <xf numFmtId="3" fontId="7" fillId="10" borderId="0" applyAlignment="1" pivotButton="0" quotePrefix="0" xfId="0">
      <alignment horizontal="right" vertical="center"/>
    </xf>
    <xf numFmtId="164" fontId="7" fillId="10" borderId="0" applyAlignment="1" pivotButton="0" quotePrefix="0" xfId="0">
      <alignment horizontal="right" vertical="center"/>
    </xf>
    <xf numFmtId="3" fontId="5" fillId="11" borderId="0" applyAlignment="1" pivotButton="0" quotePrefix="0" xfId="0">
      <alignment horizontal="right" vertical="center"/>
    </xf>
    <xf numFmtId="164" fontId="5" fillId="11" borderId="0" applyAlignment="1" pivotButton="0" quotePrefix="0" xfId="0">
      <alignment horizontal="right" vertical="center"/>
    </xf>
    <xf numFmtId="3" fontId="5" fillId="12" borderId="0" applyAlignment="1" pivotButton="0" quotePrefix="0" xfId="0">
      <alignment horizontal="right" vertical="center"/>
    </xf>
    <xf numFmtId="164" fontId="5" fillId="12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indent="2"/>
    </xf>
    <xf numFmtId="164" fontId="12" fillId="0" borderId="0" applyAlignment="1" pivotButton="0" quotePrefix="0" xfId="0">
      <alignment horizontal="right" vertical="center"/>
    </xf>
    <xf numFmtId="0" fontId="7" fillId="10" borderId="0" applyAlignment="1" pivotButton="0" quotePrefix="0" xfId="0">
      <alignment horizontal="left" vertical="center" indent="4"/>
    </xf>
    <xf numFmtId="3" fontId="12" fillId="10" borderId="0" applyAlignment="1" pivotButton="0" quotePrefix="0" xfId="0">
      <alignment horizontal="right" vertical="center"/>
    </xf>
    <xf numFmtId="0" fontId="0" fillId="10" borderId="0" pivotButton="0" quotePrefix="0" xfId="0"/>
    <xf numFmtId="164" fontId="12" fillId="10" borderId="0" applyAlignment="1" pivotButton="0" quotePrefix="0" xfId="0">
      <alignment horizontal="right" vertical="center"/>
    </xf>
    <xf numFmtId="0" fontId="7" fillId="10" borderId="0" applyAlignment="1" pivotButton="0" quotePrefix="0" xfId="0">
      <alignment horizontal="left" vertical="center" indent="2"/>
    </xf>
    <xf numFmtId="166" fontId="12" fillId="0" borderId="0" applyAlignment="1" pivotButton="0" quotePrefix="0" xfId="0">
      <alignment horizontal="right" vertical="center"/>
    </xf>
    <xf numFmtId="165" fontId="12" fillId="1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indent="2"/>
    </xf>
    <xf numFmtId="166" fontId="5" fillId="0" borderId="0" applyAlignment="1" pivotButton="0" quotePrefix="0" xfId="0">
      <alignment horizontal="right" vertical="center"/>
    </xf>
    <xf numFmtId="164" fontId="12" fillId="4" borderId="0" applyAlignment="1" pivotButton="0" quotePrefix="0" xfId="0">
      <alignment horizontal="right" vertical="center"/>
    </xf>
    <xf numFmtId="2" fontId="12" fillId="4" borderId="0" applyAlignment="1" pivotButton="0" quotePrefix="0" xfId="0">
      <alignment horizontal="right" vertical="center"/>
    </xf>
    <xf numFmtId="164" fontId="13" fillId="13" borderId="0" applyAlignment="1" pivotButton="0" quotePrefix="0" xfId="0">
      <alignment horizontal="right" vertical="center"/>
    </xf>
    <xf numFmtId="167" fontId="12" fillId="4" borderId="0" applyAlignment="1" pivotButton="0" quotePrefix="0" xfId="0">
      <alignment horizontal="right" vertical="center"/>
    </xf>
    <xf numFmtId="1" fontId="12" fillId="4" borderId="0" applyAlignment="1" pivotButton="0" quotePrefix="0" xfId="0">
      <alignment horizontal="right" vertical="center"/>
    </xf>
    <xf numFmtId="168" fontId="5" fillId="0" borderId="0" applyAlignment="1" pivotButton="0" quotePrefix="0" xfId="0">
      <alignment horizontal="right" vertical="center"/>
    </xf>
    <xf numFmtId="3" fontId="5" fillId="10" borderId="0" applyAlignment="1" pivotButton="0" quotePrefix="0" xfId="0">
      <alignment horizontal="right" vertical="center"/>
    </xf>
    <xf numFmtId="3" fontId="7" fillId="13" borderId="0" applyAlignment="1" pivotButton="0" quotePrefix="0" xfId="0">
      <alignment horizontal="right" vertical="center"/>
    </xf>
    <xf numFmtId="3" fontId="7" fillId="5" borderId="0" applyAlignment="1" pivotButton="0" quotePrefix="0" xfId="0">
      <alignment horizontal="right" vertical="center"/>
    </xf>
    <xf numFmtId="165" fontId="4" fillId="3" borderId="0" applyAlignment="1" pivotButton="0" quotePrefix="0" xfId="0">
      <alignment horizontal="right" vertical="center"/>
    </xf>
    <xf numFmtId="165" fontId="12" fillId="0" borderId="0" applyAlignment="1" pivotButton="0" quotePrefix="0" xfId="0">
      <alignment horizontal="right" vertical="center"/>
    </xf>
    <xf numFmtId="164" fontId="7" fillId="5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center" vertical="center"/>
    </xf>
    <xf numFmtId="169" fontId="5" fillId="7" borderId="0" applyAlignment="1" pivotButton="0" quotePrefix="0" xfId="0">
      <alignment horizontal="right" vertical="center"/>
    </xf>
    <xf numFmtId="169" fontId="5" fillId="0" borderId="0" applyAlignment="1" pivotButton="0" quotePrefix="0" xfId="0">
      <alignment horizontal="right" vertical="center"/>
    </xf>
    <xf numFmtId="169" fontId="14" fillId="13" borderId="0" applyAlignment="1" pivotButton="0" quotePrefix="0" xfId="0">
      <alignment horizontal="right" vertical="center"/>
    </xf>
    <xf numFmtId="0" fontId="15" fillId="0" borderId="0" applyAlignment="1" pivotButton="0" quotePrefix="0" xfId="0">
      <alignment horizontal="left" vertical="center"/>
    </xf>
    <xf numFmtId="0" fontId="6" fillId="9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right" vertical="center"/>
    </xf>
    <xf numFmtId="165" fontId="5" fillId="12" borderId="0" applyAlignment="1" pivotButton="0" quotePrefix="0" xfId="0">
      <alignment horizontal="right" vertical="center"/>
    </xf>
    <xf numFmtId="165" fontId="5" fillId="11" borderId="0" applyAlignment="1" pivotButton="0" quotePrefix="0" xfId="0">
      <alignment horizontal="right" vertical="center"/>
    </xf>
    <xf numFmtId="170" fontId="5" fillId="7" borderId="0" applyAlignment="1" pivotButton="0" quotePrefix="0" xfId="0">
      <alignment horizontal="right" vertical="center"/>
    </xf>
    <xf numFmtId="170" fontId="5" fillId="0" borderId="0" applyAlignment="1" pivotButton="0" quotePrefix="0" xfId="0">
      <alignment horizontal="right" vertical="center"/>
    </xf>
    <xf numFmtId="170" fontId="5" fillId="5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left" vertical="center" indent="2"/>
    </xf>
    <xf numFmtId="0" fontId="5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 indent="1"/>
    </xf>
    <xf numFmtId="169" fontId="5" fillId="4" borderId="0" applyAlignment="1" pivotButton="0" quotePrefix="0" xfId="0">
      <alignment horizontal="right" vertical="center"/>
    </xf>
    <xf numFmtId="165" fontId="5" fillId="4" borderId="0" applyAlignment="1" pivotButton="0" quotePrefix="0" xfId="0">
      <alignment horizontal="right" vertical="center"/>
    </xf>
    <xf numFmtId="166" fontId="5" fillId="4" borderId="0" applyAlignment="1" pivotButton="0" quotePrefix="0" xfId="0">
      <alignment horizontal="right" vertical="center"/>
    </xf>
    <xf numFmtId="164" fontId="5" fillId="4" borderId="0" applyAlignment="1" pivotButton="0" quotePrefix="0" xfId="0">
      <alignment horizontal="right" vertical="center"/>
    </xf>
    <xf numFmtId="171" fontId="5" fillId="4" borderId="0" applyAlignment="1" pivotButton="0" quotePrefix="0" xfId="0">
      <alignment horizontal="right" vertical="center"/>
    </xf>
    <xf numFmtId="0" fontId="5" fillId="5" borderId="0" applyAlignment="1" pivotButton="0" quotePrefix="0" xfId="0">
      <alignment horizontal="left" vertical="center" indent="2"/>
    </xf>
    <xf numFmtId="0" fontId="5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 indent="1"/>
    </xf>
    <xf numFmtId="169" fontId="5" fillId="5" borderId="0" applyAlignment="1" pivotButton="0" quotePrefix="0" xfId="0">
      <alignment horizontal="right" vertical="center"/>
    </xf>
    <xf numFmtId="166" fontId="5" fillId="5" borderId="0" applyAlignment="1" pivotButton="0" quotePrefix="0" xfId="0">
      <alignment horizontal="right" vertical="center"/>
    </xf>
    <xf numFmtId="171" fontId="5" fillId="5" borderId="0" applyAlignment="1" pivotButton="0" quotePrefix="0" xfId="0">
      <alignment horizontal="right" vertical="center"/>
    </xf>
    <xf numFmtId="0" fontId="7" fillId="13" borderId="0" applyAlignment="1" pivotButton="0" quotePrefix="0" xfId="0">
      <alignment horizontal="left" vertical="center" indent="2"/>
    </xf>
    <xf numFmtId="0" fontId="7" fillId="13" borderId="0" applyAlignment="1" pivotButton="0" quotePrefix="0" xfId="0">
      <alignment horizontal="center" vertical="center"/>
    </xf>
    <xf numFmtId="0" fontId="5" fillId="13" borderId="0" applyAlignment="1" pivotButton="0" quotePrefix="0" xfId="0">
      <alignment horizontal="left" vertical="center" indent="1"/>
    </xf>
    <xf numFmtId="169" fontId="7" fillId="13" borderId="0" applyAlignment="1" pivotButton="0" quotePrefix="0" xfId="0">
      <alignment horizontal="right" vertical="center"/>
    </xf>
    <xf numFmtId="165" fontId="7" fillId="13" borderId="0" applyAlignment="1" pivotButton="0" quotePrefix="0" xfId="0">
      <alignment horizontal="right" vertical="center"/>
    </xf>
    <xf numFmtId="166" fontId="7" fillId="13" borderId="0" applyAlignment="1" pivotButton="0" quotePrefix="0" xfId="0">
      <alignment horizontal="right" vertical="center"/>
    </xf>
    <xf numFmtId="164" fontId="7" fillId="13" borderId="0" applyAlignment="1" pivotButton="0" quotePrefix="0" xfId="0">
      <alignment horizontal="right" vertical="center"/>
    </xf>
    <xf numFmtId="171" fontId="7" fillId="13" borderId="0" applyAlignment="1" pivotButton="0" quotePrefix="0" xfId="0">
      <alignment horizontal="right" vertical="center"/>
    </xf>
    <xf numFmtId="0" fontId="5" fillId="8" borderId="0" applyAlignment="1" pivotButton="0" quotePrefix="0" xfId="0">
      <alignment horizontal="left" vertical="center" indent="2"/>
    </xf>
    <xf numFmtId="0" fontId="5" fillId="8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left" vertical="center" indent="1"/>
    </xf>
    <xf numFmtId="169" fontId="5" fillId="8" borderId="0" applyAlignment="1" pivotButton="0" quotePrefix="0" xfId="0">
      <alignment horizontal="right" vertical="center"/>
    </xf>
    <xf numFmtId="165" fontId="5" fillId="8" borderId="0" applyAlignment="1" pivotButton="0" quotePrefix="0" xfId="0">
      <alignment horizontal="right" vertical="center"/>
    </xf>
    <xf numFmtId="166" fontId="5" fillId="8" borderId="0" applyAlignment="1" pivotButton="0" quotePrefix="0" xfId="0">
      <alignment horizontal="right" vertical="center"/>
    </xf>
    <xf numFmtId="164" fontId="5" fillId="8" borderId="0" applyAlignment="1" pivotButton="0" quotePrefix="0" xfId="0">
      <alignment horizontal="right" vertical="center"/>
    </xf>
    <xf numFmtId="171" fontId="5" fillId="8" borderId="0" applyAlignment="1" pivotButton="0" quotePrefix="0" xfId="0">
      <alignment horizontal="right" vertical="center"/>
    </xf>
    <xf numFmtId="0" fontId="5" fillId="12" borderId="0" applyAlignment="1" pivotButton="0" quotePrefix="0" xfId="0">
      <alignment horizontal="left" vertical="center" indent="2"/>
    </xf>
    <xf numFmtId="0" fontId="5" fillId="12" borderId="0" applyAlignment="1" pivotButton="0" quotePrefix="0" xfId="0">
      <alignment horizontal="center" vertical="center"/>
    </xf>
    <xf numFmtId="0" fontId="5" fillId="12" borderId="0" applyAlignment="1" pivotButton="0" quotePrefix="0" xfId="0">
      <alignment horizontal="left" vertical="center" indent="1"/>
    </xf>
    <xf numFmtId="169" fontId="5" fillId="12" borderId="0" applyAlignment="1" pivotButton="0" quotePrefix="0" xfId="0">
      <alignment horizontal="right" vertical="center"/>
    </xf>
    <xf numFmtId="166" fontId="5" fillId="12" borderId="0" applyAlignment="1" pivotButton="0" quotePrefix="0" xfId="0">
      <alignment horizontal="right" vertical="center"/>
    </xf>
    <xf numFmtId="171" fontId="5" fillId="12" borderId="0" applyAlignment="1" pivotButton="0" quotePrefix="0" xfId="0">
      <alignment horizontal="right" vertical="center"/>
    </xf>
    <xf numFmtId="0" fontId="5" fillId="14" borderId="0" applyAlignment="1" pivotButton="0" quotePrefix="0" xfId="0">
      <alignment horizontal="left" vertical="center" indent="2"/>
    </xf>
    <xf numFmtId="0" fontId="5" fillId="14" borderId="0" applyAlignment="1" pivotButton="0" quotePrefix="0" xfId="0">
      <alignment horizontal="center" vertical="center"/>
    </xf>
    <xf numFmtId="0" fontId="5" fillId="14" borderId="0" applyAlignment="1" pivotButton="0" quotePrefix="0" xfId="0">
      <alignment horizontal="left" vertical="center" indent="1"/>
    </xf>
    <xf numFmtId="169" fontId="5" fillId="14" borderId="0" applyAlignment="1" pivotButton="0" quotePrefix="0" xfId="0">
      <alignment horizontal="right" vertical="center"/>
    </xf>
    <xf numFmtId="165" fontId="5" fillId="14" borderId="0" applyAlignment="1" pivotButton="0" quotePrefix="0" xfId="0">
      <alignment horizontal="right" vertical="center"/>
    </xf>
    <xf numFmtId="49" fontId="5" fillId="14" borderId="0" applyAlignment="1" pivotButton="0" quotePrefix="0" xfId="0">
      <alignment horizontal="right" vertical="center"/>
    </xf>
    <xf numFmtId="166" fontId="5" fillId="14" borderId="0" applyAlignment="1" pivotButton="0" quotePrefix="0" xfId="0">
      <alignment horizontal="right" vertical="center"/>
    </xf>
    <xf numFmtId="164" fontId="5" fillId="14" borderId="0" applyAlignment="1" pivotButton="0" quotePrefix="0" xfId="0">
      <alignment horizontal="right" vertical="center"/>
    </xf>
    <xf numFmtId="171" fontId="5" fillId="14" borderId="0" applyAlignment="1" pivotButton="0" quotePrefix="0" xfId="0">
      <alignment horizontal="right" vertical="center"/>
    </xf>
    <xf numFmtId="0" fontId="5" fillId="15" borderId="0" applyAlignment="1" pivotButton="0" quotePrefix="0" xfId="0">
      <alignment horizontal="left" vertical="center" indent="2"/>
    </xf>
    <xf numFmtId="0" fontId="5" fillId="15" borderId="0" applyAlignment="1" pivotButton="0" quotePrefix="0" xfId="0">
      <alignment horizontal="center" vertical="center"/>
    </xf>
    <xf numFmtId="0" fontId="5" fillId="15" borderId="0" applyAlignment="1" pivotButton="0" quotePrefix="0" xfId="0">
      <alignment horizontal="left" vertical="center" indent="1"/>
    </xf>
    <xf numFmtId="169" fontId="5" fillId="15" borderId="0" applyAlignment="1" pivotButton="0" quotePrefix="0" xfId="0">
      <alignment horizontal="right" vertical="center"/>
    </xf>
    <xf numFmtId="165" fontId="5" fillId="15" borderId="0" applyAlignment="1" pivotButton="0" quotePrefix="0" xfId="0">
      <alignment horizontal="right" vertical="center"/>
    </xf>
    <xf numFmtId="166" fontId="5" fillId="15" borderId="0" applyAlignment="1" pivotButton="0" quotePrefix="0" xfId="0">
      <alignment horizontal="right" vertical="center"/>
    </xf>
    <xf numFmtId="164" fontId="5" fillId="15" borderId="0" applyAlignment="1" pivotButton="0" quotePrefix="0" xfId="0">
      <alignment horizontal="right" vertical="center"/>
    </xf>
    <xf numFmtId="171" fontId="5" fillId="15" borderId="0" applyAlignment="1" pivotButton="0" quotePrefix="0" xfId="0">
      <alignment horizontal="right" vertical="center"/>
    </xf>
    <xf numFmtId="49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right" vertical="center"/>
    </xf>
    <xf numFmtId="164" fontId="5" fillId="7" borderId="0" applyAlignment="1" pivotButton="0" quotePrefix="0" xfId="0">
      <alignment horizontal="right" vertical="center"/>
    </xf>
    <xf numFmtId="165" fontId="16" fillId="13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left" vertical="center"/>
    </xf>
    <xf numFmtId="0" fontId="18" fillId="4" borderId="0" applyAlignment="1" pivotButton="0" quotePrefix="0" xfId="0">
      <alignment horizontal="left" vertical="center" wrapText="1" indent="2"/>
    </xf>
    <xf numFmtId="0" fontId="7" fillId="4" borderId="0" applyAlignment="1" pivotButton="0" quotePrefix="0" xfId="0">
      <alignment horizontal="left" vertical="center" indent="2"/>
    </xf>
    <xf numFmtId="0" fontId="19" fillId="4" borderId="0" applyAlignment="1" pivotButton="0" quotePrefix="0" xfId="0">
      <alignment horizontal="left" vertical="center" indent="1"/>
    </xf>
    <xf numFmtId="0" fontId="19" fillId="0" borderId="0" applyAlignment="1" pivotButton="0" quotePrefix="0" xfId="0">
      <alignment horizontal="left" vertical="center" indent="1"/>
    </xf>
    <xf numFmtId="0" fontId="4" fillId="2" borderId="0" applyAlignment="1" pivotButton="0" quotePrefix="0" xfId="0">
      <alignment horizontal="left" vertical="center" indent="1"/>
    </xf>
    <xf numFmtId="0" fontId="18" fillId="16" borderId="0" applyAlignment="1" pivotButton="0" quotePrefix="0" xfId="0">
      <alignment horizontal="left" vertical="center" wrapText="1" indent="2"/>
    </xf>
    <xf numFmtId="0" fontId="7" fillId="5" borderId="0" applyAlignment="1" pivotButton="0" quotePrefix="0" xfId="0">
      <alignment horizontal="left" vertical="center" indent="2"/>
    </xf>
    <xf numFmtId="0" fontId="19" fillId="5" borderId="0" applyAlignment="1" pivotButton="0" quotePrefix="0" xfId="0">
      <alignment horizontal="left" vertical="center" indent="1"/>
    </xf>
    <xf numFmtId="0" fontId="4" fillId="9" borderId="0" applyAlignment="1" pivotButton="0" quotePrefix="0" xfId="0">
      <alignment horizontal="left" vertical="center" indent="1"/>
    </xf>
    <xf numFmtId="0" fontId="18" fillId="17" borderId="0" applyAlignment="1" pivotButton="0" quotePrefix="0" xfId="0">
      <alignment horizontal="left" vertical="center" wrapText="1" indent="2"/>
    </xf>
    <xf numFmtId="0" fontId="7" fillId="17" borderId="0" applyAlignment="1" pivotButton="0" quotePrefix="0" xfId="0">
      <alignment horizontal="left" vertical="center" indent="2"/>
    </xf>
    <xf numFmtId="0" fontId="5" fillId="17" borderId="0" applyAlignment="1" pivotButton="0" quotePrefix="0" xfId="0">
      <alignment horizontal="left" vertical="center" indent="1"/>
    </xf>
    <xf numFmtId="0" fontId="19" fillId="17" borderId="0" applyAlignment="1" pivotButton="0" quotePrefix="0" xfId="0">
      <alignment horizontal="left" vertical="center" indent="1"/>
    </xf>
    <xf numFmtId="0" fontId="4" fillId="6" borderId="0" applyAlignment="1" pivotButton="0" quotePrefix="0" xfId="0">
      <alignment horizontal="left" vertical="center" indent="1"/>
    </xf>
    <xf numFmtId="0" fontId="7" fillId="18" borderId="0" applyAlignment="1" pivotButton="0" quotePrefix="0" xfId="0">
      <alignment horizontal="left" vertical="center" wrapText="1" indent="2"/>
    </xf>
    <xf numFmtId="0" fontId="5" fillId="18" borderId="0" applyAlignment="1" pivotButton="0" quotePrefix="0" xfId="0">
      <alignment horizontal="left" vertical="center" wrapText="1" indent="1"/>
    </xf>
    <xf numFmtId="0" fontId="7" fillId="19" borderId="0" applyAlignment="1" pivotButton="0" quotePrefix="0" xfId="0">
      <alignment horizontal="left" vertical="center" wrapText="1" indent="2"/>
    </xf>
    <xf numFmtId="0" fontId="5" fillId="19" borderId="0" applyAlignment="1" pivotButton="0" quotePrefix="0" xfId="0">
      <alignment horizontal="left" vertical="center" wrapText="1" indent="1"/>
    </xf>
    <xf numFmtId="0" fontId="4" fillId="20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wrapText="1" indent="2"/>
    </xf>
    <xf numFmtId="0" fontId="20" fillId="4" borderId="0" applyAlignment="1" pivotButton="0" quotePrefix="0" xfId="0">
      <alignment horizontal="left" vertical="center" wrapText="1" indent="1"/>
    </xf>
    <xf numFmtId="0" fontId="19" fillId="4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left" vertical="center" wrapText="1" indent="2"/>
    </xf>
    <xf numFmtId="0" fontId="20" fillId="0" borderId="0" applyAlignment="1" pivotButton="0" quotePrefix="0" xfId="0">
      <alignment horizontal="left" vertical="center" wrapText="1" indent="1"/>
    </xf>
    <xf numFmtId="0" fontId="19" fillId="0" borderId="0" applyAlignment="1" pivotButton="0" quotePrefix="0" xfId="0">
      <alignment horizontal="left" vertical="center" wrapText="1" indent="1"/>
    </xf>
    <xf numFmtId="0" fontId="6" fillId="20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wrapText="1" indent="1"/>
    </xf>
    <xf numFmtId="0" fontId="5" fillId="4" borderId="0" applyAlignment="1" pivotButton="0" quotePrefix="0" xfId="0">
      <alignment horizontal="center" vertical="center" wrapText="1" indent="1"/>
    </xf>
    <xf numFmtId="0" fontId="5" fillId="13" borderId="0" applyAlignment="1" pivotButton="0" quotePrefix="0" xfId="0">
      <alignment horizontal="center" vertical="center" wrapText="1" indent="1"/>
    </xf>
    <xf numFmtId="0" fontId="7" fillId="0" borderId="0" applyAlignment="1" pivotButton="0" quotePrefix="0" xfId="0">
      <alignment horizontal="left" vertical="center" wrapText="1" indent="1"/>
    </xf>
    <xf numFmtId="0" fontId="5" fillId="0" borderId="0" applyAlignment="1" pivotButton="0" quotePrefix="0" xfId="0">
      <alignment horizontal="center" vertical="center" wrapText="1" indent="1"/>
    </xf>
    <xf numFmtId="0" fontId="5" fillId="5" borderId="0" applyAlignment="1" pivotButton="0" quotePrefix="0" xfId="0">
      <alignment horizontal="center" vertical="center" wrapText="1" indent="1"/>
    </xf>
    <xf numFmtId="0" fontId="5" fillId="21" borderId="0" applyAlignment="1" pivotButton="0" quotePrefix="0" xfId="0">
      <alignment horizontal="center" vertical="center" wrapText="1" indent="1"/>
    </xf>
    <xf numFmtId="0" fontId="7" fillId="4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20" fillId="5" borderId="0" applyAlignment="1" pivotButton="0" quotePrefix="0" xfId="0">
      <alignment horizontal="center" vertical="center"/>
    </xf>
    <xf numFmtId="0" fontId="19" fillId="7" borderId="0" applyAlignment="1" pivotButton="0" quotePrefix="0" xfId="0">
      <alignment horizontal="center" vertical="center"/>
    </xf>
    <xf numFmtId="0" fontId="7" fillId="17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left" vertical="center" indent="1"/>
    </xf>
    <xf numFmtId="0" fontId="7" fillId="11" borderId="0" applyAlignment="1" pivotButton="0" quotePrefix="0" xfId="0">
      <alignment horizontal="center" vertical="center"/>
    </xf>
    <xf numFmtId="0" fontId="5" fillId="11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 outlineLevelCol="0"/>
  <cols>
    <col width="3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  <col width="14" customWidth="1" min="11" max="11"/>
    <col width="16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8" customHeight="1"/>
    <row r="2" ht="30" customHeight="1">
      <c r="B2" s="1" t="inlineStr">
        <is>
          <t>ADVANCED MICRO DEVICES (AMD) — INITIATING COVERAGE</t>
        </is>
      </c>
    </row>
    <row r="3" ht="22" customHeight="1">
      <c r="B3" s="2" t="inlineStr">
        <is>
          <t>BUY  |  Price Target: $540  |  Current Price: $445.50  |  Upside: +21.2%</t>
        </is>
      </c>
    </row>
    <row r="4" ht="18" customHeight="1">
      <c r="B4" s="3" t="inlineStr">
        <is>
          <t>Initiating Coverage  |  Sector: Technology — Semiconductors  |  Exchange: NASDAQ  |  Report Date: May 13, 2026</t>
        </is>
      </c>
    </row>
    <row r="5"/>
    <row r="6" ht="20" customHeight="1">
      <c r="B6" s="4" t="inlineStr">
        <is>
          <t>INVESTMENT THESIS</t>
        </is>
      </c>
    </row>
    <row r="7" ht="48" customHeight="1">
      <c r="B7" s="5" t="inlineStr">
        <is>
          <t>▪ AMD stands at the intersection of the two most powerful secular tailwinds in technology: the generative-AI data center buildout and the structural shift in server CPU market share from Intel to AMD EPYC.</t>
        </is>
      </c>
    </row>
    <row r="8" ht="48" customHeight="1">
      <c r="B8" s="5" t="inlineStr">
        <is>
          <t>▪ The Data Center segment — now &gt;60% of total revenue — is growing at 57% YoY, powered by the MI300X/MI350 Instinct GPU ramp and EPYC Turin server CPUs. Q1 2026 revenue beat consensus by 4% at $10.3B (+38% YoY), with Q2 guidance of $11.2B (+46% YoY) well above expectations.</t>
        </is>
      </c>
    </row>
    <row r="9" ht="48" customHeight="1">
      <c r="B9" s="5" t="inlineStr">
        <is>
          <t>▪ Three investment pillars: (1) AI GPU optionality — AMD is the credible #2 in AI accelerators with ~7% market share and growing; (2) EPYC market share – AMD holds ~41% server revenue share vs. 1-2% in 2018, targeting &gt;50%; (3) margin expansion – non-GAAP gross margin improving from 50% (FY2023) to 56% guided (Q2 2026), with operating leverage yet to fully materialize.</t>
        </is>
      </c>
    </row>
    <row r="10" ht="48" customHeight="1">
      <c r="B10" s="5" t="inlineStr">
        <is>
          <t>▪ Consensus expects $49B in FY2026 revenue (+42% YoY) and $75B by FY2027 (+52% YoY), driven by the MI400 Helios rack-scale platform and continued EPYC server share gains. Data center GPU revenue alone is forecast to surge 114% YoY to $15B in 2026.</t>
        </is>
      </c>
    </row>
    <row r="11" ht="48" customHeight="1">
      <c r="B11" s="5" t="inlineStr">
        <is>
          <t>▪ Price target of $540 based on 50% DCF / 50% comps weighting, implying ~21% upside. Key upside catalyst: MI400 hyperscaler ramp and OpenAI multi-year AI infrastructure deal. Key risk: widening CUDA ecosystem moat from NVIDIA limits GPU share gains.</t>
        </is>
      </c>
    </row>
    <row r="12"/>
    <row r="13"/>
    <row r="14" ht="20" customHeight="1">
      <c r="B14" s="6" t="inlineStr">
        <is>
          <t>KEY FINANCIAL METRICS  ($M unless noted)</t>
        </is>
      </c>
      <c r="K14" s="6" t="inlineStr">
        <is>
          <t>STOCK SNAPSHOT</t>
        </is>
      </c>
    </row>
    <row r="15" ht="30" customHeight="1">
      <c r="B15" s="7" t="inlineStr">
        <is>
          <t>Metric</t>
        </is>
      </c>
      <c r="C15" s="7" t="inlineStr">
        <is>
          <t>FY2023A</t>
        </is>
      </c>
      <c r="D15" s="7" t="inlineStr">
        <is>
          <t>FY2024A</t>
        </is>
      </c>
      <c r="E15" s="7" t="inlineStr">
        <is>
          <t>FY2025A</t>
        </is>
      </c>
      <c r="F15" s="7" t="inlineStr">
        <is>
          <t>FY2026E</t>
        </is>
      </c>
      <c r="G15" s="7" t="inlineStr">
        <is>
          <t>FY2027E</t>
        </is>
      </c>
      <c r="H15" s="7" t="inlineStr">
        <is>
          <t>FY2028E</t>
        </is>
      </c>
      <c r="I15" s="7" t="inlineStr">
        <is>
          <t>FY2026E YoY</t>
        </is>
      </c>
      <c r="J15" s="7" t="inlineStr">
        <is>
          <t>FY2027E YoY</t>
        </is>
      </c>
      <c r="K15" s="7" t="inlineStr">
        <is>
          <t>Metric</t>
        </is>
      </c>
      <c r="L15" s="7" t="inlineStr">
        <is>
          <t>Value</t>
        </is>
      </c>
    </row>
    <row r="16" ht="18" customHeight="1">
      <c r="B16" s="8" t="inlineStr">
        <is>
          <t>Revenue ($M)</t>
        </is>
      </c>
      <c r="C16" s="9" t="n">
        <v>22680</v>
      </c>
      <c r="D16" s="9" t="n">
        <v>25785</v>
      </c>
      <c r="E16" s="9" t="n">
        <v>34639</v>
      </c>
      <c r="F16" s="9" t="n">
        <v>49292</v>
      </c>
      <c r="G16" s="9" t="n">
        <v>75102</v>
      </c>
      <c r="H16" s="9" t="n">
        <v>101147</v>
      </c>
      <c r="I16" s="10">
        <f>(F16-E16)/E16</f>
        <v/>
      </c>
      <c r="J16" s="10">
        <f>(G16-F16)/F16</f>
        <v/>
      </c>
      <c r="K16" s="11" t="inlineStr">
        <is>
          <t>Current Price</t>
        </is>
      </c>
      <c r="L16" s="12" t="inlineStr">
        <is>
          <t>$445.50</t>
        </is>
      </c>
    </row>
    <row r="17" ht="18" customHeight="1">
      <c r="B17" s="11" t="inlineStr">
        <is>
          <t>YoY Growth</t>
        </is>
      </c>
      <c r="C17" s="10" t="n">
        <v>-0.039</v>
      </c>
      <c r="D17" s="10" t="n">
        <v>0.137</v>
      </c>
      <c r="E17" s="10" t="n">
        <v>0.344</v>
      </c>
      <c r="F17" s="10" t="n">
        <v>0.423</v>
      </c>
      <c r="G17" s="10" t="n">
        <v>0.524</v>
      </c>
      <c r="H17" s="10" t="n">
        <v>0.347</v>
      </c>
      <c r="K17" s="11" t="inlineStr">
        <is>
          <t>Price Target</t>
        </is>
      </c>
      <c r="L17" s="13" t="inlineStr">
        <is>
          <t>$540.00</t>
        </is>
      </c>
    </row>
    <row r="18" ht="18" customHeight="1">
      <c r="B18" s="8" t="inlineStr">
        <is>
          <t>Adj. Gross Profit ($M)</t>
        </is>
      </c>
      <c r="C18" s="9" t="n">
        <v>11436</v>
      </c>
      <c r="D18" s="9" t="n">
        <v>13759</v>
      </c>
      <c r="E18" s="9" t="n">
        <v>18165</v>
      </c>
      <c r="F18" s="9" t="n">
        <v>27355</v>
      </c>
      <c r="G18" s="9" t="n">
        <v>41863</v>
      </c>
      <c r="H18" s="9" t="n">
        <v>56874</v>
      </c>
      <c r="I18" s="10">
        <f>(F18-E18)/E18</f>
        <v/>
      </c>
      <c r="J18" s="10">
        <f>(G18-F18)/F18</f>
        <v/>
      </c>
      <c r="K18" s="11" t="inlineStr">
        <is>
          <t>Upside / (Downside)</t>
        </is>
      </c>
      <c r="L18" s="12" t="inlineStr">
        <is>
          <t>+21.2%</t>
        </is>
      </c>
    </row>
    <row r="19" ht="18" customHeight="1">
      <c r="B19" s="11" t="inlineStr">
        <is>
          <t>Adj. Gross Margin</t>
        </is>
      </c>
      <c r="C19" s="10" t="n">
        <v>0.504</v>
      </c>
      <c r="D19" s="10" t="n">
        <v>0.534</v>
      </c>
      <c r="E19" s="10" t="n">
        <v>0.524</v>
      </c>
      <c r="F19" s="10" t="n">
        <v>0.555</v>
      </c>
      <c r="G19" s="10" t="n">
        <v>0.5570000000000001</v>
      </c>
      <c r="H19" s="10" t="n">
        <v>0.5620000000000001</v>
      </c>
      <c r="K19" s="11" t="inlineStr">
        <is>
          <t>Rating</t>
        </is>
      </c>
      <c r="L19" s="14" t="inlineStr">
        <is>
          <t>BUY</t>
        </is>
      </c>
    </row>
    <row r="20" ht="18" customHeight="1">
      <c r="B20" s="8" t="inlineStr">
        <is>
          <t>Adj. EBITDA ($M)</t>
        </is>
      </c>
      <c r="C20" s="9" t="n">
        <v>5496</v>
      </c>
      <c r="D20" s="9" t="n">
        <v>6810</v>
      </c>
      <c r="E20" s="9" t="n">
        <v>8521</v>
      </c>
      <c r="F20" s="9" t="n">
        <v>12724</v>
      </c>
      <c r="G20" s="9" t="n">
        <v>23771</v>
      </c>
      <c r="H20" s="9" t="n">
        <v>34866</v>
      </c>
      <c r="I20" s="10">
        <f>(F20-E20)/E20</f>
        <v/>
      </c>
      <c r="J20" s="10">
        <f>(G20-F20)/F20</f>
        <v/>
      </c>
      <c r="K20" s="11" t="inlineStr">
        <is>
          <t>Market Cap</t>
        </is>
      </c>
      <c r="L20" s="12" t="inlineStr">
        <is>
          <t>$726B</t>
        </is>
      </c>
    </row>
    <row r="21" ht="18" customHeight="1">
      <c r="B21" s="11" t="inlineStr">
        <is>
          <t>Adj. EBITDA Margin</t>
        </is>
      </c>
      <c r="C21" s="10" t="n">
        <v>0.242</v>
      </c>
      <c r="D21" s="10" t="n">
        <v>0.264</v>
      </c>
      <c r="E21" s="10" t="n">
        <v>0.246</v>
      </c>
      <c r="F21" s="10" t="n">
        <v>0.258</v>
      </c>
      <c r="G21" s="10" t="n">
        <v>0.317</v>
      </c>
      <c r="H21" s="10" t="n">
        <v>0.345</v>
      </c>
      <c r="K21" s="11" t="inlineStr">
        <is>
          <t>Enterprise Value</t>
        </is>
      </c>
      <c r="L21" s="12" t="inlineStr">
        <is>
          <t>~$721B</t>
        </is>
      </c>
    </row>
    <row r="22" ht="18" customHeight="1">
      <c r="B22" s="8" t="inlineStr">
        <is>
          <t>Adj. EPS</t>
        </is>
      </c>
      <c r="C22" s="15" t="n">
        <v>2.65</v>
      </c>
      <c r="D22" s="15" t="n">
        <v>3.31</v>
      </c>
      <c r="E22" s="15" t="n">
        <v>4.17</v>
      </c>
      <c r="F22" s="15" t="n">
        <v>9.56</v>
      </c>
      <c r="G22" s="15" t="n">
        <v>15.45</v>
      </c>
      <c r="H22" s="15" t="n">
        <v>21.09</v>
      </c>
      <c r="I22" s="10">
        <f>(F22-E22)/E22</f>
        <v/>
      </c>
      <c r="J22" s="10">
        <f>(G22-F22)/F22</f>
        <v/>
      </c>
      <c r="K22" s="11" t="inlineStr">
        <is>
          <t>52-Week Range</t>
        </is>
      </c>
      <c r="L22" s="12" t="inlineStr">
        <is>
          <t>$92 – $461</t>
        </is>
      </c>
    </row>
    <row r="23" ht="18" customHeight="1">
      <c r="B23" s="8" t="inlineStr">
        <is>
          <t>Free Cash Flow ($M)</t>
        </is>
      </c>
      <c r="C23" s="16" t="n">
        <v>1121</v>
      </c>
      <c r="D23" s="16" t="n">
        <v>2405</v>
      </c>
      <c r="E23" s="16" t="n">
        <v>6735</v>
      </c>
      <c r="F23" s="16" t="n">
        <v>8291</v>
      </c>
      <c r="G23" s="16" t="n">
        <v>15570</v>
      </c>
      <c r="H23" s="16" t="n">
        <v>22916</v>
      </c>
      <c r="I23" s="10">
        <f>(F23-E23)/E23</f>
        <v/>
      </c>
      <c r="J23" s="10">
        <f>(G23-F23)/F23</f>
        <v/>
      </c>
      <c r="K23" s="11" t="inlineStr">
        <is>
          <t>Shares Out (Dil.)</t>
        </is>
      </c>
      <c r="L23" s="12" t="inlineStr">
        <is>
          <t>~1.63B</t>
        </is>
      </c>
    </row>
    <row r="24" ht="18" customHeight="1">
      <c r="B24" s="11" t="inlineStr">
        <is>
          <t>FCF Margin</t>
        </is>
      </c>
      <c r="C24" s="17" t="n">
        <v>0.049</v>
      </c>
      <c r="D24" s="17" t="n">
        <v>0.093</v>
      </c>
      <c r="E24" s="17" t="n">
        <v>0.194</v>
      </c>
      <c r="F24" s="17" t="n">
        <v>0.168</v>
      </c>
      <c r="G24" s="17" t="n">
        <v>0.207</v>
      </c>
      <c r="H24" s="17" t="n">
        <v>0.227</v>
      </c>
      <c r="K24" s="11" t="inlineStr">
        <is>
          <t>Net Debt / (Cash)</t>
        </is>
      </c>
      <c r="L24" s="12" t="inlineStr">
        <is>
          <t>Net Cash $3.0B</t>
        </is>
      </c>
    </row>
    <row r="25" ht="18" customHeight="1">
      <c r="K25" s="11" t="inlineStr">
        <is>
          <t>Dividend Yield</t>
        </is>
      </c>
      <c r="L25" s="12" t="inlineStr">
        <is>
          <t>None</t>
        </is>
      </c>
    </row>
    <row r="26" ht="18" customHeight="1">
      <c r="K26" s="11" t="inlineStr">
        <is>
          <t>Fiscal Year End</t>
        </is>
      </c>
      <c r="L26" s="12" t="inlineStr">
        <is>
          <t>December</t>
        </is>
      </c>
    </row>
    <row r="27" ht="18" customHeight="1">
      <c r="K27" s="11" t="inlineStr">
        <is>
          <t>Analyst Coverage</t>
        </is>
      </c>
      <c r="L27" s="12" t="inlineStr">
        <is>
          <t>35+ Analysts</t>
        </is>
      </c>
    </row>
    <row r="28">
      <c r="B28" s="18" t="inlineStr">
        <is>
          <t>TOP CATALYSTS</t>
        </is>
      </c>
      <c r="J28" s="19" t="inlineStr">
        <is>
          <t>TOP RISKS</t>
        </is>
      </c>
    </row>
    <row r="29">
      <c r="B29" s="7" t="inlineStr">
        <is>
          <t>Horizon</t>
        </is>
      </c>
      <c r="C29" s="7" t="inlineStr">
        <is>
          <t>Catalyst Description</t>
        </is>
      </c>
      <c r="J29" s="7" t="inlineStr">
        <is>
          <t>Severity</t>
        </is>
      </c>
      <c r="K29" s="7" t="inlineStr">
        <is>
          <t>Risk Description</t>
        </is>
      </c>
    </row>
    <row r="30" ht="20" customHeight="1">
      <c r="B30" s="20" t="inlineStr">
        <is>
          <t>NEAR TERM (0–6M)</t>
        </is>
      </c>
      <c r="C30" s="21" t="inlineStr">
        <is>
          <t>MI400 Helios rack-scale platform production ramp; Q2 2026 earnings beat/guide</t>
        </is>
      </c>
      <c r="D30" s="22" t="n"/>
      <c r="E30" s="22" t="n"/>
      <c r="F30" s="22" t="n"/>
      <c r="G30" s="22" t="n"/>
      <c r="H30" s="22" t="n"/>
      <c r="J30" s="23" t="inlineStr">
        <is>
          <t>HIGH</t>
        </is>
      </c>
      <c r="K30" s="24" t="inlineStr">
        <is>
          <t>NVIDIA CUDA ecosystem moat widens; AMD GPU share gains slower than expected</t>
        </is>
      </c>
    </row>
    <row r="31" ht="20" customHeight="1">
      <c r="B31" s="8" t="inlineStr">
        <is>
          <t>NEAR TERM (0–6M)</t>
        </is>
      </c>
      <c r="C31" s="24" t="inlineStr">
        <is>
          <t>OpenAI multi-year AI infrastructure supply agreement (1 GW AMD Instinct deployment)</t>
        </is>
      </c>
      <c r="J31" s="23" t="inlineStr">
        <is>
          <t>HIGH</t>
        </is>
      </c>
      <c r="K31" s="24" t="inlineStr">
        <is>
          <t>US export controls on MI300X/MI400 series to China (~$100M Q1 restriction impact)</t>
        </is>
      </c>
    </row>
    <row r="32" ht="20" customHeight="1">
      <c r="B32" s="20" t="inlineStr">
        <is>
          <t>MED TERM (6–18M)</t>
        </is>
      </c>
      <c r="C32" s="21" t="inlineStr">
        <is>
          <t>EPYC server CPU share crossing 50% revenue share threshold for first time</t>
        </is>
      </c>
      <c r="D32" s="22" t="n"/>
      <c r="E32" s="22" t="n"/>
      <c r="F32" s="22" t="n"/>
      <c r="G32" s="22" t="n"/>
      <c r="H32" s="22" t="n"/>
      <c r="J32" s="25" t="inlineStr">
        <is>
          <t>MED</t>
        </is>
      </c>
      <c r="K32" s="24" t="inlineStr">
        <is>
          <t>Data center capex slowdown among hyperscalers if AI ROI disappoints</t>
        </is>
      </c>
    </row>
    <row r="33" ht="20" customHeight="1">
      <c r="B33" s="8" t="inlineStr">
        <is>
          <t>MED TERM (6–18M)</t>
        </is>
      </c>
      <c r="C33" s="24" t="inlineStr">
        <is>
          <t>Non-GAAP operating margin expansion toward 30%+ as Data Center mix dominates</t>
        </is>
      </c>
      <c r="J33" s="25" t="inlineStr">
        <is>
          <t>MED</t>
        </is>
      </c>
      <c r="K33" s="24" t="inlineStr">
        <is>
          <t>Intel 18A process node recovery competes with EPYC for server CPU share</t>
        </is>
      </c>
    </row>
    <row r="34" ht="20" customHeight="1">
      <c r="B34" s="20" t="inlineStr">
        <is>
          <t>LONG TERM (18M+)</t>
        </is>
      </c>
      <c r="C34" s="21" t="inlineStr">
        <is>
          <t>MI500 / next-gen AI accelerator addressing inference workloads with ROCm improvements</t>
        </is>
      </c>
      <c r="D34" s="22" t="n"/>
      <c r="E34" s="22" t="n"/>
      <c r="F34" s="22" t="n"/>
      <c r="G34" s="22" t="n"/>
      <c r="H34" s="22" t="n"/>
      <c r="J34" s="26" t="inlineStr">
        <is>
          <t>LOW</t>
        </is>
      </c>
      <c r="K34" s="24" t="inlineStr">
        <is>
          <t>Semiconductor cycle downturn impacting PC/gaming segments and inventory</t>
        </is>
      </c>
    </row>
    <row r="35"/>
    <row r="36">
      <c r="B36" s="27" t="inlineStr">
        <is>
          <t>Source: Company filings (AMD 10-K FY2025, Q1 2026 earnings), Bloomberg, FactSet Consensus, S&amp;P Global Visible Alpha. For informational purposes only, not investment advice.</t>
        </is>
      </c>
    </row>
  </sheetData>
  <mergeCells count="24">
    <mergeCell ref="B11:P11"/>
    <mergeCell ref="B2:P2"/>
    <mergeCell ref="K32:P32"/>
    <mergeCell ref="B14:J14"/>
    <mergeCell ref="C31:H31"/>
    <mergeCell ref="K31:P31"/>
    <mergeCell ref="B8:P8"/>
    <mergeCell ref="B10:P10"/>
    <mergeCell ref="K14:P14"/>
    <mergeCell ref="B9:P9"/>
    <mergeCell ref="J28:P28"/>
    <mergeCell ref="C32:H32"/>
    <mergeCell ref="B6:P6"/>
    <mergeCell ref="B36:P36"/>
    <mergeCell ref="C34:H34"/>
    <mergeCell ref="B4:P4"/>
    <mergeCell ref="K34:P34"/>
    <mergeCell ref="C30:H30"/>
    <mergeCell ref="C33:H33"/>
    <mergeCell ref="K30:P30"/>
    <mergeCell ref="B7:P7"/>
    <mergeCell ref="K33:P33"/>
    <mergeCell ref="B3:P3"/>
    <mergeCell ref="B28:H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/>
    <row r="2" ht="28" customHeight="1">
      <c r="B2" s="28" t="inlineStr">
        <is>
          <t>AMD — SEGMENT REVENUE MODEL  ($M)</t>
        </is>
      </c>
    </row>
    <row r="3">
      <c r="B3" s="29" t="inlineStr">
        <is>
          <t>Historical: Company filings (AMD 10-K FY2021–FY2025)  |  Estimates: FactSet/Visible Alpha Consensus  |  Projected: Analyst estimates + management guidance</t>
        </is>
      </c>
    </row>
    <row r="4"/>
    <row r="5" ht="28" customHeight="1">
      <c r="B5" s="7" t="inlineStr">
        <is>
          <t>Segment / Geography</t>
        </is>
      </c>
      <c r="C5" s="7" t="inlineStr">
        <is>
          <t>FY2021A</t>
        </is>
      </c>
      <c r="D5" s="7" t="inlineStr">
        <is>
          <t>FY2022A</t>
        </is>
      </c>
      <c r="E5" s="7" t="inlineStr">
        <is>
          <t>FY2023A</t>
        </is>
      </c>
      <c r="F5" s="7" t="inlineStr">
        <is>
          <t>FY2024A</t>
        </is>
      </c>
      <c r="G5" s="7" t="inlineStr">
        <is>
          <t>FY2025A</t>
        </is>
      </c>
      <c r="H5" s="30" t="inlineStr">
        <is>
          <t>FY2026E Base</t>
        </is>
      </c>
      <c r="I5" s="30" t="inlineStr">
        <is>
          <t>FY2027E Base</t>
        </is>
      </c>
      <c r="J5" s="30" t="inlineStr">
        <is>
          <t>FY2028E Base</t>
        </is>
      </c>
      <c r="K5" s="31" t="inlineStr">
        <is>
          <t>FY2026E Bull</t>
        </is>
      </c>
      <c r="L5" s="31" t="inlineStr">
        <is>
          <t>FY2027E Bull</t>
        </is>
      </c>
      <c r="M5" s="31" t="inlineStr">
        <is>
          <t>FY2028E Bull</t>
        </is>
      </c>
      <c r="N5" s="32" t="inlineStr">
        <is>
          <t>FY2026E Bear</t>
        </is>
      </c>
      <c r="O5" s="32" t="inlineStr">
        <is>
          <t>FY2027E Bear</t>
        </is>
      </c>
      <c r="P5" s="32" t="inlineStr">
        <is>
          <t>FY2028E Bear</t>
        </is>
      </c>
    </row>
    <row r="6">
      <c r="B6" s="33" t="inlineStr">
        <is>
          <t xml:space="preserve">  Data Center</t>
        </is>
      </c>
    </row>
    <row r="7" ht="16" customHeight="1">
      <c r="B7" s="34" t="inlineStr">
        <is>
          <t xml:space="preserve">    Revenue ($M)</t>
        </is>
      </c>
      <c r="C7" s="35" t="n">
        <v>3694</v>
      </c>
      <c r="D7" s="35" t="n">
        <v>6043</v>
      </c>
      <c r="E7" s="35" t="n">
        <v>6496</v>
      </c>
      <c r="F7" s="35" t="n">
        <v>12579</v>
      </c>
      <c r="G7" s="35" t="n">
        <v>16635</v>
      </c>
      <c r="H7" s="35" t="n">
        <v>28700</v>
      </c>
      <c r="I7" s="35" t="n">
        <v>52000</v>
      </c>
      <c r="J7" s="35" t="n">
        <v>82000</v>
      </c>
      <c r="K7" s="35" t="n">
        <v>32000</v>
      </c>
      <c r="L7" s="35" t="n">
        <v>62000</v>
      </c>
      <c r="M7" s="35" t="n">
        <v>100000</v>
      </c>
      <c r="N7" s="35" t="n">
        <v>22000</v>
      </c>
      <c r="O7" s="35" t="n">
        <v>35000</v>
      </c>
      <c r="P7" s="35" t="n">
        <v>52000</v>
      </c>
    </row>
    <row r="8" ht="16" customHeight="1">
      <c r="B8" s="34" t="inlineStr">
        <is>
          <t xml:space="preserve">    YoY Growth (%)</t>
        </is>
      </c>
      <c r="D8" s="10">
        <f>(D7-C7)/C7</f>
        <v/>
      </c>
      <c r="E8" s="10">
        <f>(E7-D7)/D7</f>
        <v/>
      </c>
      <c r="F8" s="10">
        <f>(F7-E7)/E7</f>
        <v/>
      </c>
      <c r="G8" s="10">
        <f>(G7-F7)/F7</f>
        <v/>
      </c>
      <c r="H8" s="10">
        <f>(H7-G7)/G7</f>
        <v/>
      </c>
      <c r="I8" s="10">
        <f>(I7-H7)/H7</f>
        <v/>
      </c>
      <c r="J8" s="10">
        <f>(J7-I7)/I7</f>
        <v/>
      </c>
      <c r="K8" s="10">
        <f>(K7-J7)/J7</f>
        <v/>
      </c>
      <c r="L8" s="10">
        <f>(L7-K7)/K7</f>
        <v/>
      </c>
      <c r="M8" s="10">
        <f>(M7-L7)/L7</f>
        <v/>
      </c>
      <c r="N8" s="10">
        <f>(N7-M7)/M7</f>
        <v/>
      </c>
      <c r="O8" s="10">
        <f>(O7-N7)/N7</f>
        <v/>
      </c>
      <c r="P8" s="10">
        <f>(P7-O7)/O7</f>
        <v/>
      </c>
    </row>
    <row r="9"/>
    <row r="10">
      <c r="B10" s="33" t="inlineStr">
        <is>
          <t xml:space="preserve">  Client</t>
        </is>
      </c>
    </row>
    <row r="11" ht="16" customHeight="1">
      <c r="B11" s="34" t="inlineStr">
        <is>
          <t xml:space="preserve">    Revenue ($M)</t>
        </is>
      </c>
      <c r="C11" s="35" t="n">
        <v>6887</v>
      </c>
      <c r="D11" s="35" t="n">
        <v>6201</v>
      </c>
      <c r="E11" s="35" t="n">
        <v>4651</v>
      </c>
      <c r="F11" s="35" t="n">
        <v>7054</v>
      </c>
      <c r="G11" s="35" t="n">
        <v>10640</v>
      </c>
      <c r="H11" s="35" t="n">
        <v>13500</v>
      </c>
      <c r="I11" s="35" t="n">
        <v>15200</v>
      </c>
      <c r="J11" s="35" t="n">
        <v>17000</v>
      </c>
      <c r="K11" s="35" t="n">
        <v>14500</v>
      </c>
      <c r="L11" s="35" t="n">
        <v>16500</v>
      </c>
      <c r="M11" s="35" t="n">
        <v>18500</v>
      </c>
      <c r="N11" s="35" t="n">
        <v>12000</v>
      </c>
      <c r="O11" s="35" t="n">
        <v>13000</v>
      </c>
      <c r="P11" s="35" t="n">
        <v>14000</v>
      </c>
    </row>
    <row r="12" ht="16" customHeight="1">
      <c r="B12" s="34" t="inlineStr">
        <is>
          <t xml:space="preserve">    YoY Growth (%)</t>
        </is>
      </c>
      <c r="D12" s="10">
        <f>(D11-C11)/C11</f>
        <v/>
      </c>
      <c r="E12" s="10">
        <f>(E11-D11)/D11</f>
        <v/>
      </c>
      <c r="F12" s="10">
        <f>(F11-E11)/E11</f>
        <v/>
      </c>
      <c r="G12" s="10">
        <f>(G11-F11)/F11</f>
        <v/>
      </c>
      <c r="H12" s="10">
        <f>(H11-G11)/G11</f>
        <v/>
      </c>
      <c r="I12" s="10">
        <f>(I11-H11)/H11</f>
        <v/>
      </c>
      <c r="J12" s="10">
        <f>(J11-I11)/I11</f>
        <v/>
      </c>
      <c r="K12" s="10">
        <f>(K11-J11)/J11</f>
        <v/>
      </c>
      <c r="L12" s="10">
        <f>(L11-K11)/K11</f>
        <v/>
      </c>
      <c r="M12" s="10">
        <f>(M11-L11)/L11</f>
        <v/>
      </c>
      <c r="N12" s="10">
        <f>(N11-M11)/M11</f>
        <v/>
      </c>
      <c r="O12" s="10">
        <f>(O11-N11)/N11</f>
        <v/>
      </c>
      <c r="P12" s="10">
        <f>(P11-O11)/O11</f>
        <v/>
      </c>
    </row>
    <row r="13"/>
    <row r="14">
      <c r="B14" s="33" t="inlineStr">
        <is>
          <t xml:space="preserve">  Gaming</t>
        </is>
      </c>
    </row>
    <row r="15" ht="16" customHeight="1">
      <c r="B15" s="34" t="inlineStr">
        <is>
          <t xml:space="preserve">    Revenue ($M)</t>
        </is>
      </c>
      <c r="C15" s="35" t="n">
        <v>5607</v>
      </c>
      <c r="D15" s="35" t="n">
        <v>6805</v>
      </c>
      <c r="E15" s="35" t="n">
        <v>6212</v>
      </c>
      <c r="F15" s="35" t="n">
        <v>2595</v>
      </c>
      <c r="G15" s="35" t="n">
        <v>3910</v>
      </c>
      <c r="H15" s="35" t="n">
        <v>4200</v>
      </c>
      <c r="I15" s="35" t="n">
        <v>4800</v>
      </c>
      <c r="J15" s="35" t="n">
        <v>5200</v>
      </c>
      <c r="K15" s="35" t="n">
        <v>4600</v>
      </c>
      <c r="L15" s="35" t="n">
        <v>5200</v>
      </c>
      <c r="M15" s="35" t="n">
        <v>5800</v>
      </c>
      <c r="N15" s="35" t="n">
        <v>3600</v>
      </c>
      <c r="O15" s="35" t="n">
        <v>3900</v>
      </c>
      <c r="P15" s="35" t="n">
        <v>4200</v>
      </c>
    </row>
    <row r="16" ht="16" customHeight="1">
      <c r="B16" s="34" t="inlineStr">
        <is>
          <t xml:space="preserve">    YoY Growth (%)</t>
        </is>
      </c>
      <c r="D16" s="10">
        <f>(D15-C15)/C15</f>
        <v/>
      </c>
      <c r="E16" s="10">
        <f>(E15-D15)/D15</f>
        <v/>
      </c>
      <c r="F16" s="10">
        <f>(F15-E15)/E15</f>
        <v/>
      </c>
      <c r="G16" s="10">
        <f>(G15-F15)/F15</f>
        <v/>
      </c>
      <c r="H16" s="10">
        <f>(H15-G15)/G15</f>
        <v/>
      </c>
      <c r="I16" s="10">
        <f>(I15-H15)/H15</f>
        <v/>
      </c>
      <c r="J16" s="10">
        <f>(J15-I15)/I15</f>
        <v/>
      </c>
      <c r="K16" s="10">
        <f>(K15-J15)/J15</f>
        <v/>
      </c>
      <c r="L16" s="10">
        <f>(L15-K15)/K15</f>
        <v/>
      </c>
      <c r="M16" s="10">
        <f>(M15-L15)/L15</f>
        <v/>
      </c>
      <c r="N16" s="10">
        <f>(N15-M15)/M15</f>
        <v/>
      </c>
      <c r="O16" s="10">
        <f>(O15-N15)/N15</f>
        <v/>
      </c>
      <c r="P16" s="10">
        <f>(P15-O15)/O15</f>
        <v/>
      </c>
    </row>
    <row r="17"/>
    <row r="18">
      <c r="B18" s="33" t="inlineStr">
        <is>
          <t xml:space="preserve">  Embedded</t>
        </is>
      </c>
    </row>
    <row r="19" ht="16" customHeight="1">
      <c r="B19" s="34" t="inlineStr">
        <is>
          <t xml:space="preserve">    Revenue ($M)</t>
        </is>
      </c>
      <c r="C19" s="35" t="n">
        <v>246</v>
      </c>
      <c r="D19" s="35" t="n">
        <v>4552</v>
      </c>
      <c r="E19" s="35" t="n">
        <v>5321</v>
      </c>
      <c r="F19" s="35" t="n">
        <v>3557</v>
      </c>
      <c r="G19" s="35" t="n">
        <v>3454</v>
      </c>
      <c r="H19" s="35" t="n">
        <v>2892</v>
      </c>
      <c r="I19" s="35" t="n">
        <v>3900</v>
      </c>
      <c r="J19" s="35" t="n">
        <v>5147</v>
      </c>
      <c r="K19" s="35" t="n">
        <v>3300</v>
      </c>
      <c r="L19" s="35" t="n">
        <v>4800</v>
      </c>
      <c r="M19" s="35" t="n">
        <v>6200</v>
      </c>
      <c r="N19" s="35" t="n">
        <v>2400</v>
      </c>
      <c r="O19" s="35" t="n">
        <v>3000</v>
      </c>
      <c r="P19" s="35" t="n">
        <v>3700</v>
      </c>
    </row>
    <row r="20" ht="16" customHeight="1">
      <c r="B20" s="34" t="inlineStr">
        <is>
          <t xml:space="preserve">    YoY Growth (%)</t>
        </is>
      </c>
      <c r="D20" s="10">
        <f>(D19-C19)/C19</f>
        <v/>
      </c>
      <c r="E20" s="10">
        <f>(E19-D19)/D19</f>
        <v/>
      </c>
      <c r="F20" s="10">
        <f>(F19-E19)/E19</f>
        <v/>
      </c>
      <c r="G20" s="10">
        <f>(G19-F19)/F19</f>
        <v/>
      </c>
      <c r="H20" s="10">
        <f>(H19-G19)/G19</f>
        <v/>
      </c>
      <c r="I20" s="10">
        <f>(I19-H19)/H19</f>
        <v/>
      </c>
      <c r="J20" s="10">
        <f>(J19-I19)/I19</f>
        <v/>
      </c>
      <c r="K20" s="10">
        <f>(K19-J19)/J19</f>
        <v/>
      </c>
      <c r="L20" s="10">
        <f>(L19-K19)/K19</f>
        <v/>
      </c>
      <c r="M20" s="10">
        <f>(M19-L19)/L19</f>
        <v/>
      </c>
      <c r="N20" s="10">
        <f>(N19-M19)/M19</f>
        <v/>
      </c>
      <c r="O20" s="10">
        <f>(O19-N19)/N19</f>
        <v/>
      </c>
      <c r="P20" s="10">
        <f>(P19-O19)/O19</f>
        <v/>
      </c>
    </row>
    <row r="21"/>
    <row r="22"/>
    <row r="23">
      <c r="B23" s="33" t="inlineStr">
        <is>
          <t xml:space="preserve">  TOTAL REVENUE</t>
        </is>
      </c>
    </row>
    <row r="24" ht="18" customHeight="1">
      <c r="B24" s="36" t="inlineStr">
        <is>
          <t xml:space="preserve">    Total Revenue ($M)</t>
        </is>
      </c>
      <c r="C24" s="37" t="n">
        <v>16434</v>
      </c>
      <c r="D24" s="37" t="n">
        <v>23601</v>
      </c>
      <c r="E24" s="37" t="n">
        <v>22680</v>
      </c>
      <c r="F24" s="37" t="n">
        <v>25785</v>
      </c>
      <c r="G24" s="37" t="n">
        <v>34639</v>
      </c>
      <c r="H24" s="37">
        <f>H7+H11+H15+H19</f>
        <v/>
      </c>
      <c r="I24" s="37">
        <f>I7+I11+I15+I19</f>
        <v/>
      </c>
      <c r="J24" s="37">
        <f>J7+J11+J15+J19</f>
        <v/>
      </c>
      <c r="K24" s="37">
        <f>K7+K11+K15+K19</f>
        <v/>
      </c>
      <c r="L24" s="37">
        <f>L7+L11+L15+L19</f>
        <v/>
      </c>
      <c r="M24" s="37">
        <f>M7+M11+M15+M19</f>
        <v/>
      </c>
      <c r="N24" s="37">
        <f>N7+N11+N15+N19</f>
        <v/>
      </c>
      <c r="O24" s="37">
        <f>O7+O11+O15+O19</f>
        <v/>
      </c>
      <c r="P24" s="37">
        <f>P7+P11+P15+P19</f>
        <v/>
      </c>
    </row>
    <row r="25" ht="18" customHeight="1">
      <c r="B25" s="36" t="inlineStr">
        <is>
          <t xml:space="preserve">    Total YoY Growth (%)</t>
        </is>
      </c>
      <c r="D25" s="38">
        <f>(D24-C24)/C24</f>
        <v/>
      </c>
      <c r="E25" s="38">
        <f>(E24-D24)/D24</f>
        <v/>
      </c>
      <c r="F25" s="38">
        <f>(F24-E24)/E24</f>
        <v/>
      </c>
      <c r="G25" s="38">
        <f>(G24-F24)/F24</f>
        <v/>
      </c>
      <c r="H25" s="38">
        <f>(H24-G24)/G24</f>
        <v/>
      </c>
      <c r="I25" s="38">
        <f>(I24-H24)/H24</f>
        <v/>
      </c>
      <c r="J25" s="38">
        <f>(J24-I24)/I24</f>
        <v/>
      </c>
      <c r="K25" s="38">
        <f>(K24-J24)/J24</f>
        <v/>
      </c>
      <c r="L25" s="38">
        <f>(L24-K24)/K24</f>
        <v/>
      </c>
      <c r="M25" s="38">
        <f>(M24-L24)/L24</f>
        <v/>
      </c>
      <c r="N25" s="38">
        <f>(N24-M24)/M24</f>
        <v/>
      </c>
      <c r="O25" s="38">
        <f>(O24-N24)/N24</f>
        <v/>
      </c>
      <c r="P25" s="38">
        <f>(P24-O24)/O24</f>
        <v/>
      </c>
    </row>
    <row r="26"/>
    <row r="27"/>
    <row r="28">
      <c r="B28" s="33" t="inlineStr">
        <is>
          <t xml:space="preserve">  SCENARIO SUMMARY (Total Revenue, $M)</t>
        </is>
      </c>
    </row>
    <row r="29">
      <c r="B29" s="7" t="inlineStr">
        <is>
          <t>Scenario</t>
        </is>
      </c>
      <c r="C29" s="7" t="inlineStr">
        <is>
          <t>FY2025A</t>
        </is>
      </c>
      <c r="D29" s="7" t="inlineStr">
        <is>
          <t>FY2026E</t>
        </is>
      </c>
      <c r="E29" s="7" t="inlineStr">
        <is>
          <t>FY2027E</t>
        </is>
      </c>
      <c r="F29" s="7" t="inlineStr">
        <is>
          <t>FY2028E</t>
        </is>
      </c>
      <c r="G29" s="7" t="inlineStr">
        <is>
          <t>FY2026 YoY</t>
        </is>
      </c>
      <c r="H29" s="7" t="inlineStr">
        <is>
          <t>FY2027 YoY</t>
        </is>
      </c>
      <c r="I29" s="7" t="inlineStr">
        <is>
          <t>CAGR 25-28E</t>
        </is>
      </c>
    </row>
    <row r="30" ht="18" customHeight="1">
      <c r="B30" s="8" t="inlineStr">
        <is>
          <t>Base Case</t>
        </is>
      </c>
      <c r="C30" s="9" t="n">
        <v>34639</v>
      </c>
      <c r="D30" s="9" t="n">
        <v>49292</v>
      </c>
      <c r="E30" s="9" t="n">
        <v>75102</v>
      </c>
      <c r="F30" s="9" t="n">
        <v>101147</v>
      </c>
      <c r="G30" s="17">
        <f>(E30-D30)/D30</f>
        <v/>
      </c>
      <c r="H30" s="17">
        <f>(F30-E30)/E30</f>
        <v/>
      </c>
      <c r="I30" s="17">
        <f>(G30/D30)^(1/3)-1</f>
        <v/>
      </c>
    </row>
    <row r="31" ht="18" customHeight="1">
      <c r="B31" s="8" t="inlineStr">
        <is>
          <t>Bull Case</t>
        </is>
      </c>
      <c r="C31" s="39" t="n">
        <v>34639</v>
      </c>
      <c r="D31" s="39" t="n">
        <v>56400</v>
      </c>
      <c r="E31" s="39" t="n">
        <v>97900</v>
      </c>
      <c r="F31" s="39" t="n">
        <v>133700</v>
      </c>
      <c r="G31" s="40">
        <f>(E31-D31)/D31</f>
        <v/>
      </c>
      <c r="H31" s="40">
        <f>(F31-E31)/E31</f>
        <v/>
      </c>
      <c r="I31" s="40">
        <f>(G31/D31)^(1/3)-1</f>
        <v/>
      </c>
    </row>
    <row r="32" ht="18" customHeight="1">
      <c r="B32" s="8" t="inlineStr">
        <is>
          <t>Bear Case</t>
        </is>
      </c>
      <c r="C32" s="41" t="n">
        <v>34639</v>
      </c>
      <c r="D32" s="41" t="n">
        <v>40000</v>
      </c>
      <c r="E32" s="41" t="n">
        <v>55900</v>
      </c>
      <c r="F32" s="41" t="n">
        <v>73900</v>
      </c>
      <c r="G32" s="42">
        <f>(E32-D32)/D32</f>
        <v/>
      </c>
      <c r="H32" s="42">
        <f>(F32-E32)/E32</f>
        <v/>
      </c>
      <c r="I32" s="42">
        <f>(G32/D32)^(1/3)-1</f>
        <v/>
      </c>
    </row>
    <row r="33"/>
    <row r="34">
      <c r="B34" s="27" t="inlineStr">
        <is>
          <t>Sources: AMD 10-K FY2021–FY2025, AMD Q1 2026 earnings, S&amp;P Global Visible Alpha consensus, management guidance. Data Center 2026E per S&amp;P Global forecast of $28.7B.</t>
        </is>
      </c>
    </row>
  </sheetData>
  <mergeCells count="9">
    <mergeCell ref="B6:P6"/>
    <mergeCell ref="B34:P34"/>
    <mergeCell ref="B10:P10"/>
    <mergeCell ref="B28:P28"/>
    <mergeCell ref="B14:P14"/>
    <mergeCell ref="B2:R2"/>
    <mergeCell ref="B23:P23"/>
    <mergeCell ref="B3:R3"/>
    <mergeCell ref="B18:P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6" customWidth="1" min="11" max="11"/>
  </cols>
  <sheetData>
    <row r="1"/>
    <row r="2" ht="28" customHeight="1">
      <c r="B2" s="28" t="inlineStr">
        <is>
          <t>AMD — INCOME STATEMENT  ($M)  |  Historical + Base Case Projections</t>
        </is>
      </c>
    </row>
    <row r="3"/>
    <row r="4" ht="28" customHeight="1">
      <c r="B4" s="7" t="inlineStr">
        <is>
          <t>Income Statement ($M)</t>
        </is>
      </c>
      <c r="C4" s="7" t="inlineStr">
        <is>
          <t>FY2021A</t>
        </is>
      </c>
      <c r="D4" s="7" t="inlineStr">
        <is>
          <t>FY2022A</t>
        </is>
      </c>
      <c r="E4" s="7" t="inlineStr">
        <is>
          <t>FY2023A</t>
        </is>
      </c>
      <c r="F4" s="7" t="inlineStr">
        <is>
          <t>FY2024A</t>
        </is>
      </c>
      <c r="G4" s="7" t="inlineStr">
        <is>
          <t>FY2025A</t>
        </is>
      </c>
      <c r="H4" s="7" t="inlineStr">
        <is>
          <t>FY2026E</t>
        </is>
      </c>
      <c r="I4" s="7" t="inlineStr">
        <is>
          <t>FY2027E</t>
        </is>
      </c>
      <c r="J4" s="7" t="inlineStr">
        <is>
          <t>FY2028E</t>
        </is>
      </c>
      <c r="K4" s="7" t="inlineStr">
        <is>
          <t>Source</t>
        </is>
      </c>
    </row>
    <row r="5">
      <c r="B5" s="33" t="inlineStr">
        <is>
          <t>REVENUE</t>
        </is>
      </c>
    </row>
    <row r="6" ht="16" customHeight="1">
      <c r="B6" s="43" t="inlineStr">
        <is>
          <t>Revenue</t>
        </is>
      </c>
      <c r="C6" s="35" t="n">
        <v>16434</v>
      </c>
      <c r="D6" s="35" t="n">
        <v>23601</v>
      </c>
      <c r="E6" s="35" t="n">
        <v>22680</v>
      </c>
      <c r="F6" s="35" t="n">
        <v>25785</v>
      </c>
      <c r="G6" s="35" t="n">
        <v>34639</v>
      </c>
      <c r="H6" s="35" t="n">
        <v>49292</v>
      </c>
      <c r="I6" s="35" t="n">
        <v>75102</v>
      </c>
      <c r="J6" s="35" t="n">
        <v>101147</v>
      </c>
    </row>
    <row r="7" ht="16" customHeight="1">
      <c r="B7" s="34" t="inlineStr">
        <is>
          <t xml:space="preserve">  YoY Growth</t>
        </is>
      </c>
      <c r="C7" s="44" t="n"/>
      <c r="D7" s="44" t="n">
        <v>0.436</v>
      </c>
      <c r="E7" s="44" t="n">
        <v>-0.039</v>
      </c>
      <c r="F7" s="44" t="n">
        <v>0.137</v>
      </c>
      <c r="G7" s="44" t="n">
        <v>0.344</v>
      </c>
      <c r="H7" s="44" t="n">
        <v>0.423</v>
      </c>
      <c r="I7" s="44" t="n">
        <v>0.524</v>
      </c>
      <c r="J7" s="44" t="n">
        <v>0.347</v>
      </c>
    </row>
    <row r="8">
      <c r="B8" s="33" t="inlineStr">
        <is>
          <t>COST &amp; GROSS PROFIT</t>
        </is>
      </c>
    </row>
    <row r="9" ht="16" customHeight="1">
      <c r="B9" s="43" t="inlineStr">
        <is>
          <t>Cost of Revenue (COGS)</t>
        </is>
      </c>
      <c r="C9" s="35" t="n">
        <v>8505</v>
      </c>
      <c r="D9" s="35" t="n">
        <v>12998</v>
      </c>
      <c r="E9" s="35" t="n">
        <v>12220</v>
      </c>
      <c r="F9" s="35" t="n">
        <v>13060</v>
      </c>
      <c r="G9" s="35" t="n">
        <v>17487</v>
      </c>
      <c r="H9" s="35" t="n">
        <v>21938</v>
      </c>
      <c r="I9" s="35" t="n">
        <v>33240</v>
      </c>
      <c r="J9" s="35" t="n">
        <v>44273</v>
      </c>
    </row>
    <row r="10" ht="16" customHeight="1">
      <c r="B10" s="45" t="inlineStr">
        <is>
          <t xml:space="preserve">  Gross Profit</t>
        </is>
      </c>
      <c r="C10" s="46" t="n">
        <v>7929</v>
      </c>
      <c r="D10" s="46" t="n">
        <v>10603</v>
      </c>
      <c r="E10" s="46" t="n">
        <v>10460</v>
      </c>
      <c r="F10" s="46" t="n">
        <v>12725</v>
      </c>
      <c r="G10" s="46" t="n">
        <v>17152</v>
      </c>
      <c r="H10" s="46" t="n">
        <v>27354</v>
      </c>
      <c r="I10" s="46" t="n">
        <v>41862</v>
      </c>
      <c r="J10" s="46" t="n">
        <v>56874</v>
      </c>
      <c r="K10" s="47" t="n"/>
    </row>
    <row r="11" ht="16" customHeight="1">
      <c r="B11" s="45" t="inlineStr">
        <is>
          <t xml:space="preserve">  Gross Margin</t>
        </is>
      </c>
      <c r="C11" s="48" t="n">
        <v>0.482</v>
      </c>
      <c r="D11" s="48" t="n">
        <v>0.449</v>
      </c>
      <c r="E11" s="48" t="n">
        <v>0.461</v>
      </c>
      <c r="F11" s="48" t="n">
        <v>0.494</v>
      </c>
      <c r="G11" s="48" t="n">
        <v>0.495</v>
      </c>
      <c r="H11" s="48" t="n">
        <v>0.555</v>
      </c>
      <c r="I11" s="48" t="n">
        <v>0.5570000000000001</v>
      </c>
      <c r="J11" s="48" t="n">
        <v>0.5620000000000001</v>
      </c>
      <c r="K11" s="47" t="n"/>
    </row>
    <row r="12">
      <c r="B12" s="33" t="inlineStr">
        <is>
          <t>ADJ. GROSS PROFIT (NON-GAAP)</t>
        </is>
      </c>
    </row>
    <row r="13" ht="16" customHeight="1">
      <c r="B13" s="43" t="inlineStr">
        <is>
          <t>Adj. Gross Profit (Non-GAAP)</t>
        </is>
      </c>
      <c r="C13" s="35" t="n">
        <v>7934</v>
      </c>
      <c r="D13" s="35" t="n">
        <v>12273</v>
      </c>
      <c r="E13" s="35" t="n">
        <v>11436</v>
      </c>
      <c r="F13" s="35" t="n">
        <v>13759</v>
      </c>
      <c r="G13" s="35" t="n">
        <v>18165</v>
      </c>
      <c r="H13" s="35" t="n">
        <v>27355</v>
      </c>
      <c r="I13" s="35" t="n">
        <v>41863</v>
      </c>
      <c r="J13" s="35" t="n">
        <v>56874</v>
      </c>
    </row>
    <row r="14" ht="16" customHeight="1">
      <c r="B14" s="43" t="inlineStr">
        <is>
          <t>Adj. Gross Margin (Non-GAAP)</t>
        </is>
      </c>
      <c r="C14" s="44" t="n">
        <v>0.48</v>
      </c>
      <c r="D14" s="44" t="n">
        <v>0.52</v>
      </c>
      <c r="E14" s="44" t="n">
        <v>0.5</v>
      </c>
      <c r="F14" s="44" t="n">
        <v>0.534</v>
      </c>
      <c r="G14" s="44" t="n">
        <v>0.524</v>
      </c>
      <c r="H14" s="44" t="n">
        <v>0.555</v>
      </c>
      <c r="I14" s="44" t="n">
        <v>0.5570000000000001</v>
      </c>
      <c r="J14" s="44" t="n">
        <v>0.5620000000000001</v>
      </c>
    </row>
    <row r="15">
      <c r="B15" s="33" t="inlineStr">
        <is>
          <t>OPERATING EXPENSES</t>
        </is>
      </c>
    </row>
    <row r="16" ht="16" customHeight="1">
      <c r="B16" s="43" t="inlineStr">
        <is>
          <t>Research &amp; Development</t>
        </is>
      </c>
      <c r="C16" s="35" t="n">
        <v>2845</v>
      </c>
      <c r="D16" s="35" t="n">
        <v>5005</v>
      </c>
      <c r="E16" s="35" t="n">
        <v>5272</v>
      </c>
      <c r="F16" s="35" t="n">
        <v>5759</v>
      </c>
      <c r="G16" s="35" t="n">
        <v>8053</v>
      </c>
      <c r="H16" s="35" t="n">
        <v>9858</v>
      </c>
      <c r="I16" s="35" t="n">
        <v>15020</v>
      </c>
      <c r="J16" s="35" t="n">
        <v>20229</v>
      </c>
    </row>
    <row r="17" ht="16" customHeight="1">
      <c r="B17" s="34" t="inlineStr">
        <is>
          <t xml:space="preserve">  R&amp;D as % of Revenue</t>
        </is>
      </c>
      <c r="C17" s="44" t="n">
        <v>0.173</v>
      </c>
      <c r="D17" s="44" t="n">
        <v>0.212</v>
      </c>
      <c r="E17" s="44" t="n">
        <v>0.232</v>
      </c>
      <c r="F17" s="44" t="n">
        <v>0.223</v>
      </c>
      <c r="G17" s="44" t="n">
        <v>0.233</v>
      </c>
      <c r="H17" s="44" t="n">
        <v>0.2</v>
      </c>
      <c r="I17" s="44" t="n">
        <v>0.2</v>
      </c>
      <c r="J17" s="44" t="n">
        <v>0.2</v>
      </c>
    </row>
    <row r="18" ht="16" customHeight="1">
      <c r="B18" s="43" t="inlineStr">
        <is>
          <t>SG&amp;A</t>
        </is>
      </c>
      <c r="C18" s="35" t="n">
        <v>1448</v>
      </c>
      <c r="D18" s="35" t="n">
        <v>2969</v>
      </c>
      <c r="E18" s="35" t="n">
        <v>2761</v>
      </c>
      <c r="F18" s="35" t="n">
        <v>2870</v>
      </c>
      <c r="G18" s="35" t="n">
        <v>4049</v>
      </c>
      <c r="H18" s="35" t="n">
        <v>4929</v>
      </c>
      <c r="I18" s="35" t="n">
        <v>7510</v>
      </c>
      <c r="J18" s="35" t="n">
        <v>10115</v>
      </c>
    </row>
    <row r="19" ht="16" customHeight="1">
      <c r="B19" s="34" t="inlineStr">
        <is>
          <t xml:space="preserve">  SG&amp;A as % of Revenue</t>
        </is>
      </c>
      <c r="C19" s="44" t="n">
        <v>0.08799999999999999</v>
      </c>
      <c r="D19" s="44" t="n">
        <v>0.126</v>
      </c>
      <c r="E19" s="44" t="n">
        <v>0.122</v>
      </c>
      <c r="F19" s="44" t="n">
        <v>0.111</v>
      </c>
      <c r="G19" s="44" t="n">
        <v>0.117</v>
      </c>
      <c r="H19" s="44" t="n">
        <v>0.1</v>
      </c>
      <c r="I19" s="44" t="n">
        <v>0.1</v>
      </c>
      <c r="J19" s="44" t="n">
        <v>0.1</v>
      </c>
    </row>
    <row r="20" ht="16" customHeight="1">
      <c r="B20" s="43" t="inlineStr">
        <is>
          <t>Total Operating Expenses</t>
        </is>
      </c>
      <c r="C20" s="35" t="n">
        <v>4293</v>
      </c>
      <c r="D20" s="35" t="n">
        <v>7974</v>
      </c>
      <c r="E20" s="35" t="n">
        <v>8033</v>
      </c>
      <c r="F20" s="35" t="n">
        <v>8629</v>
      </c>
      <c r="G20" s="35" t="n">
        <v>12102</v>
      </c>
      <c r="H20" s="35" t="n">
        <v>14787</v>
      </c>
      <c r="I20" s="35" t="n">
        <v>22530</v>
      </c>
      <c r="J20" s="35" t="n">
        <v>30344</v>
      </c>
    </row>
    <row r="21">
      <c r="B21" s="33" t="inlineStr">
        <is>
          <t>OPERATING INCOME</t>
        </is>
      </c>
    </row>
    <row r="22" ht="16" customHeight="1">
      <c r="B22" s="49" t="inlineStr">
        <is>
          <t>Operating Income (GAAP)</t>
        </is>
      </c>
      <c r="C22" s="46" t="n">
        <v>3636</v>
      </c>
      <c r="D22" s="46" t="n">
        <v>1264</v>
      </c>
      <c r="E22" s="46" t="n">
        <v>401</v>
      </c>
      <c r="F22" s="46" t="n">
        <v>1900</v>
      </c>
      <c r="G22" s="46" t="n">
        <v>3694</v>
      </c>
      <c r="H22" s="46" t="n">
        <v>12567</v>
      </c>
      <c r="I22" s="46" t="n">
        <v>19332</v>
      </c>
      <c r="J22" s="46" t="n">
        <v>26530</v>
      </c>
      <c r="K22" s="47" t="n"/>
    </row>
    <row r="23" ht="16" customHeight="1">
      <c r="B23" s="45" t="inlineStr">
        <is>
          <t xml:space="preserve">  Operating Margin (GAAP)</t>
        </is>
      </c>
      <c r="C23" s="48" t="n">
        <v>0.221</v>
      </c>
      <c r="D23" s="48" t="n">
        <v>0.054</v>
      </c>
      <c r="E23" s="48" t="n">
        <v>0.018</v>
      </c>
      <c r="F23" s="48" t="n">
        <v>0.074</v>
      </c>
      <c r="G23" s="48" t="n">
        <v>0.107</v>
      </c>
      <c r="H23" s="48" t="n">
        <v>0.255</v>
      </c>
      <c r="I23" s="48" t="n">
        <v>0.257</v>
      </c>
      <c r="J23" s="48" t="n">
        <v>0.262</v>
      </c>
      <c r="K23" s="47" t="n"/>
    </row>
    <row r="24" ht="16" customHeight="1">
      <c r="B24" s="43" t="inlineStr">
        <is>
          <t>Adj. Operating Income (Non-GAAP)</t>
        </is>
      </c>
      <c r="C24" s="35" t="n">
        <v>4069</v>
      </c>
      <c r="D24" s="35" t="n">
        <v>6345</v>
      </c>
      <c r="E24" s="35" t="n">
        <v>4854</v>
      </c>
      <c r="F24" s="35" t="n">
        <v>6138</v>
      </c>
      <c r="G24" s="35" t="n">
        <v>7768</v>
      </c>
      <c r="H24" s="35" t="n">
        <v>12682</v>
      </c>
      <c r="I24" s="35" t="n">
        <v>23019</v>
      </c>
      <c r="J24" s="35" t="n">
        <v>34011</v>
      </c>
    </row>
    <row r="25" ht="16" customHeight="1">
      <c r="B25" s="34" t="inlineStr">
        <is>
          <t xml:space="preserve">  Adj. Op. Margin (Non-GAAP)</t>
        </is>
      </c>
      <c r="C25" s="44" t="n">
        <v>0.248</v>
      </c>
      <c r="D25" s="44" t="n">
        <v>0.269</v>
      </c>
      <c r="E25" s="44" t="n">
        <v>0.214</v>
      </c>
      <c r="F25" s="44" t="n">
        <v>0.238</v>
      </c>
      <c r="G25" s="44" t="n">
        <v>0.224</v>
      </c>
      <c r="H25" s="44" t="n">
        <v>0.257</v>
      </c>
      <c r="I25" s="44" t="n">
        <v>0.307</v>
      </c>
      <c r="J25" s="44" t="n">
        <v>0.336</v>
      </c>
    </row>
    <row r="26" ht="16" customHeight="1">
      <c r="B26" s="43" t="inlineStr">
        <is>
          <t>D&amp;A (incl. stock comp amort.)</t>
        </is>
      </c>
      <c r="C26" s="35" t="n">
        <v>1148</v>
      </c>
      <c r="D26" s="35" t="n">
        <v>2196</v>
      </c>
      <c r="E26" s="35" t="n">
        <v>2542</v>
      </c>
      <c r="F26" s="35" t="n">
        <v>2668</v>
      </c>
      <c r="G26" s="35" t="n">
        <v>3316</v>
      </c>
      <c r="H26" s="35" t="n">
        <v>5172</v>
      </c>
      <c r="I26" s="35" t="n">
        <v>7880</v>
      </c>
      <c r="J26" s="35" t="n">
        <v>10620</v>
      </c>
    </row>
    <row r="27">
      <c r="B27" s="33" t="inlineStr">
        <is>
          <t>EBITDA</t>
        </is>
      </c>
    </row>
    <row r="28" ht="16" customHeight="1">
      <c r="B28" s="49" t="inlineStr">
        <is>
          <t>Adj. EBITDA</t>
        </is>
      </c>
      <c r="C28" s="46" t="n">
        <v>4476</v>
      </c>
      <c r="D28" s="46" t="n">
        <v>6971</v>
      </c>
      <c r="E28" s="46" t="n">
        <v>5496</v>
      </c>
      <c r="F28" s="46" t="n">
        <v>6810</v>
      </c>
      <c r="G28" s="46" t="n">
        <v>8521</v>
      </c>
      <c r="H28" s="46" t="n">
        <v>12724</v>
      </c>
      <c r="I28" s="46" t="n">
        <v>23771</v>
      </c>
      <c r="J28" s="46" t="n">
        <v>34866</v>
      </c>
      <c r="K28" s="47" t="n"/>
    </row>
    <row r="29" ht="16" customHeight="1">
      <c r="B29" s="45" t="inlineStr">
        <is>
          <t xml:space="preserve">  Adj. EBITDA Margin</t>
        </is>
      </c>
      <c r="C29" s="48" t="n">
        <v>0.272</v>
      </c>
      <c r="D29" s="48" t="n">
        <v>0.295</v>
      </c>
      <c r="E29" s="48" t="n">
        <v>0.242</v>
      </c>
      <c r="F29" s="48" t="n">
        <v>0.264</v>
      </c>
      <c r="G29" s="48" t="n">
        <v>0.246</v>
      </c>
      <c r="H29" s="48" t="n">
        <v>0.258</v>
      </c>
      <c r="I29" s="48" t="n">
        <v>0.317</v>
      </c>
      <c r="J29" s="48" t="n">
        <v>0.345</v>
      </c>
      <c r="K29" s="47" t="n"/>
    </row>
    <row r="30">
      <c r="B30" s="33" t="inlineStr">
        <is>
          <t>BELOW-THE-LINE ITEMS</t>
        </is>
      </c>
    </row>
    <row r="31" ht="16" customHeight="1">
      <c r="B31" s="43" t="inlineStr">
        <is>
          <t>Interest Income (Expense), net</t>
        </is>
      </c>
      <c r="C31" s="35" t="n">
        <v>50</v>
      </c>
      <c r="D31" s="35" t="n">
        <v>109</v>
      </c>
      <c r="E31" s="35" t="n">
        <v>177</v>
      </c>
      <c r="F31" s="35" t="n">
        <v>181</v>
      </c>
      <c r="G31" s="35" t="n">
        <v>265</v>
      </c>
      <c r="H31" s="35" t="n">
        <v>300</v>
      </c>
      <c r="I31" s="35" t="n">
        <v>400</v>
      </c>
      <c r="J31" s="35" t="n">
        <v>500</v>
      </c>
    </row>
    <row r="32" ht="16" customHeight="1">
      <c r="B32" s="43" t="inlineStr">
        <is>
          <t>Other income, net</t>
        </is>
      </c>
      <c r="C32" s="35" t="n">
        <v>50</v>
      </c>
      <c r="D32" s="35" t="n">
        <v>25</v>
      </c>
      <c r="E32" s="35" t="n">
        <v>-50</v>
      </c>
      <c r="F32" s="35" t="n">
        <v>25</v>
      </c>
      <c r="G32" s="35" t="n">
        <v>50</v>
      </c>
      <c r="H32" s="35" t="n">
        <v>50</v>
      </c>
      <c r="I32" s="35" t="n">
        <v>50</v>
      </c>
      <c r="J32" s="35" t="n">
        <v>50</v>
      </c>
    </row>
    <row r="33" ht="16" customHeight="1">
      <c r="B33" s="43" t="inlineStr">
        <is>
          <t>Pre-Tax Income</t>
        </is>
      </c>
      <c r="C33" s="35" t="n">
        <v>3736</v>
      </c>
      <c r="D33" s="35" t="n">
        <v>1398</v>
      </c>
      <c r="E33" s="35" t="n">
        <v>528</v>
      </c>
      <c r="F33" s="35" t="n">
        <v>2106</v>
      </c>
      <c r="G33" s="35" t="n">
        <v>4009</v>
      </c>
      <c r="H33" s="35" t="n">
        <v>12917</v>
      </c>
      <c r="I33" s="35" t="n">
        <v>19782</v>
      </c>
      <c r="J33" s="35" t="n">
        <v>27080</v>
      </c>
    </row>
    <row r="34" ht="16" customHeight="1">
      <c r="B34" s="43" t="inlineStr">
        <is>
          <t>Income Tax Expense</t>
        </is>
      </c>
      <c r="C34" s="35" t="n">
        <v>574</v>
      </c>
      <c r="D34" s="35" t="n">
        <v>78</v>
      </c>
      <c r="E34" s="35" t="n">
        <v>-326</v>
      </c>
      <c r="F34" s="35" t="n">
        <v>465</v>
      </c>
      <c r="G34" s="35" t="n">
        <v>1326</v>
      </c>
      <c r="H34" s="35" t="n">
        <v>3068</v>
      </c>
      <c r="I34" s="35" t="n">
        <v>2802</v>
      </c>
      <c r="J34" s="35" t="n">
        <v>3562</v>
      </c>
    </row>
    <row r="35" ht="16" customHeight="1">
      <c r="B35" s="34" t="inlineStr">
        <is>
          <t xml:space="preserve">  Effective Tax Rate</t>
        </is>
      </c>
      <c r="C35" s="44" t="n">
        <v>0.154</v>
      </c>
      <c r="D35" s="44" t="n">
        <v>0.056</v>
      </c>
      <c r="E35" s="44" t="n">
        <v>-0.618</v>
      </c>
      <c r="F35" s="44" t="n">
        <v>0.221</v>
      </c>
      <c r="G35" s="44" t="n">
        <v>0.331</v>
      </c>
      <c r="H35" s="44" t="n">
        <v>0.237</v>
      </c>
      <c r="I35" s="44" t="n">
        <v>0.142</v>
      </c>
      <c r="J35" s="44" t="n">
        <v>0.132</v>
      </c>
    </row>
    <row r="36">
      <c r="B36" s="33" t="inlineStr">
        <is>
          <t>NET INCOME</t>
        </is>
      </c>
    </row>
    <row r="37" ht="16" customHeight="1">
      <c r="B37" s="49" t="inlineStr">
        <is>
          <t>Net Income (GAAP)</t>
        </is>
      </c>
      <c r="C37" s="46" t="n">
        <v>3162</v>
      </c>
      <c r="D37" s="46" t="n">
        <v>1320</v>
      </c>
      <c r="E37" s="46" t="n">
        <v>854</v>
      </c>
      <c r="F37" s="46" t="n">
        <v>1641</v>
      </c>
      <c r="G37" s="46" t="n">
        <v>4335</v>
      </c>
      <c r="H37" s="46" t="n">
        <v>9849</v>
      </c>
      <c r="I37" s="46" t="n">
        <v>16980</v>
      </c>
      <c r="J37" s="46" t="n">
        <v>23518</v>
      </c>
      <c r="K37" s="47" t="n"/>
    </row>
    <row r="38" ht="16" customHeight="1">
      <c r="B38" s="45" t="inlineStr">
        <is>
          <t xml:space="preserve">  Net Margin (GAAP)</t>
        </is>
      </c>
      <c r="C38" s="48" t="n">
        <v>0.192</v>
      </c>
      <c r="D38" s="48" t="n">
        <v>0.056</v>
      </c>
      <c r="E38" s="48" t="n">
        <v>0.038</v>
      </c>
      <c r="F38" s="48" t="n">
        <v>0.064</v>
      </c>
      <c r="G38" s="48" t="n">
        <v>0.125</v>
      </c>
      <c r="H38" s="48" t="n">
        <v>0.2</v>
      </c>
      <c r="I38" s="48" t="n">
        <v>0.226</v>
      </c>
      <c r="J38" s="48" t="n">
        <v>0.233</v>
      </c>
      <c r="K38" s="47" t="n"/>
    </row>
    <row r="39" ht="16" customHeight="1">
      <c r="B39" s="43" t="inlineStr">
        <is>
          <t>Adj. Net Income (Non-GAAP)</t>
        </is>
      </c>
      <c r="C39" s="35" t="n">
        <v>3435</v>
      </c>
      <c r="D39" s="35" t="n">
        <v>5504</v>
      </c>
      <c r="E39" s="35" t="n">
        <v>4302</v>
      </c>
      <c r="F39" s="35" t="n">
        <v>5420</v>
      </c>
      <c r="G39" s="35" t="n">
        <v>6831</v>
      </c>
      <c r="H39" s="35" t="n">
        <v>10394</v>
      </c>
      <c r="I39" s="35" t="n">
        <v>18024</v>
      </c>
      <c r="J39" s="35" t="n">
        <v>26543</v>
      </c>
    </row>
    <row r="40" ht="16" customHeight="1">
      <c r="B40" s="34" t="inlineStr">
        <is>
          <t xml:space="preserve">  Adj. Net Margin</t>
        </is>
      </c>
      <c r="C40" s="44" t="n">
        <v>0.209</v>
      </c>
      <c r="D40" s="44" t="n">
        <v>0.233</v>
      </c>
      <c r="E40" s="44" t="n">
        <v>0.19</v>
      </c>
      <c r="F40" s="44" t="n">
        <v>0.21</v>
      </c>
      <c r="G40" s="44" t="n">
        <v>0.197</v>
      </c>
      <c r="H40" s="44" t="n">
        <v>0.211</v>
      </c>
      <c r="I40" s="44" t="n">
        <v>0.24</v>
      </c>
      <c r="J40" s="44" t="n">
        <v>0.263</v>
      </c>
    </row>
    <row r="41">
      <c r="B41" s="33" t="inlineStr">
        <is>
          <t>PER SHARE DATA</t>
        </is>
      </c>
    </row>
    <row r="42" ht="16" customHeight="1">
      <c r="B42" s="43" t="inlineStr">
        <is>
          <t>Diluted Shares Outstanding (M)</t>
        </is>
      </c>
      <c r="C42" s="50" t="n">
        <v>1621</v>
      </c>
      <c r="D42" s="50" t="n">
        <v>1598</v>
      </c>
      <c r="E42" s="50" t="n">
        <v>1615</v>
      </c>
      <c r="F42" s="50" t="n">
        <v>1621</v>
      </c>
      <c r="G42" s="50" t="n">
        <v>1632</v>
      </c>
      <c r="H42" s="50" t="n">
        <v>1633</v>
      </c>
      <c r="I42" s="50" t="n">
        <v>1634</v>
      </c>
      <c r="J42" s="50" t="n">
        <v>1635</v>
      </c>
    </row>
    <row r="43" ht="16" customHeight="1">
      <c r="B43" s="49" t="inlineStr">
        <is>
          <t>EPS (GAAP, diluted)</t>
        </is>
      </c>
      <c r="C43" s="51" t="n">
        <v>1.95</v>
      </c>
      <c r="D43" s="51" t="n">
        <v>0.83</v>
      </c>
      <c r="E43" s="51" t="n">
        <v>0.53</v>
      </c>
      <c r="F43" s="51" t="n">
        <v>1.01</v>
      </c>
      <c r="G43" s="51" t="n">
        <v>2.67</v>
      </c>
      <c r="H43" s="51" t="n">
        <v>6.03</v>
      </c>
      <c r="I43" s="51" t="n">
        <v>10.39</v>
      </c>
      <c r="J43" s="51" t="n">
        <v>14.39</v>
      </c>
      <c r="K43" s="47" t="n"/>
    </row>
    <row r="44" ht="16" customHeight="1">
      <c r="B44" s="49" t="inlineStr">
        <is>
          <t>Adj. EPS (Non-GAAP, diluted)</t>
        </is>
      </c>
      <c r="C44" s="51" t="n">
        <v>2.79</v>
      </c>
      <c r="D44" s="51" t="n">
        <v>3.5</v>
      </c>
      <c r="E44" s="51" t="n">
        <v>2.65</v>
      </c>
      <c r="F44" s="51" t="n">
        <v>3.31</v>
      </c>
      <c r="G44" s="51" t="n">
        <v>4.17</v>
      </c>
      <c r="H44" s="51" t="n">
        <v>9.56</v>
      </c>
      <c r="I44" s="51" t="n">
        <v>15.45</v>
      </c>
      <c r="J44" s="51" t="n">
        <v>21.09</v>
      </c>
      <c r="K44" s="47" t="n"/>
    </row>
    <row r="45"/>
    <row r="46">
      <c r="B46" s="27" t="inlineStr">
        <is>
          <t>Sources: AMD 10-K FY2021–FY2025, AMD Q4 2025 earnings release, AMD Q1 2026 press release. Projections per FactSet/Visible Alpha consensus and analyst estimates.</t>
        </is>
      </c>
    </row>
  </sheetData>
  <mergeCells count="11">
    <mergeCell ref="B46:N46"/>
    <mergeCell ref="B41:K41"/>
    <mergeCell ref="B8:K8"/>
    <mergeCell ref="B27:K27"/>
    <mergeCell ref="B36:K36"/>
    <mergeCell ref="B21:K21"/>
    <mergeCell ref="B30:K30"/>
    <mergeCell ref="B12:K12"/>
    <mergeCell ref="B15:K15"/>
    <mergeCell ref="B2:N2"/>
    <mergeCell ref="B5:K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/>
    <row r="2" ht="28" customHeight="1">
      <c r="B2" s="28" t="inlineStr">
        <is>
          <t>AMD — BALANCE SHEET  ($M)  |  Historical FY2021–FY2025</t>
        </is>
      </c>
    </row>
    <row r="3"/>
    <row r="4" ht="24" customHeight="1">
      <c r="B4" s="7" t="inlineStr">
        <is>
          <t>Balance Sheet ($M)</t>
        </is>
      </c>
      <c r="C4" s="7" t="inlineStr">
        <is>
          <t>FY2021A</t>
        </is>
      </c>
      <c r="D4" s="7" t="inlineStr">
        <is>
          <t>FY2022A</t>
        </is>
      </c>
      <c r="E4" s="7" t="inlineStr">
        <is>
          <t>FY2023A</t>
        </is>
      </c>
      <c r="F4" s="7" t="inlineStr">
        <is>
          <t>FY2024A</t>
        </is>
      </c>
      <c r="G4" s="7" t="inlineStr">
        <is>
          <t>FY2025A</t>
        </is>
      </c>
    </row>
    <row r="5" ht="16" customHeight="1">
      <c r="B5" s="33" t="inlineStr">
        <is>
          <t>CURRENT ASSETS</t>
        </is>
      </c>
    </row>
    <row r="6" ht="16" customHeight="1">
      <c r="B6" s="34" t="inlineStr">
        <is>
          <t>Cash &amp; Equivalents</t>
        </is>
      </c>
      <c r="C6" s="16" t="n">
        <v>2535</v>
      </c>
      <c r="D6" s="16" t="n">
        <v>4835</v>
      </c>
      <c r="E6" s="16" t="n">
        <v>3933</v>
      </c>
      <c r="F6" s="16" t="n">
        <v>3787</v>
      </c>
      <c r="G6" s="16" t="n">
        <v>5539</v>
      </c>
    </row>
    <row r="7" ht="16" customHeight="1">
      <c r="B7" s="34" t="inlineStr">
        <is>
          <t>Short-term Investments</t>
        </is>
      </c>
      <c r="C7" s="16" t="n">
        <v>1228</v>
      </c>
      <c r="D7" s="16" t="n">
        <v>0</v>
      </c>
      <c r="E7" s="16" t="n">
        <v>0</v>
      </c>
      <c r="F7" s="16" t="n">
        <v>0</v>
      </c>
      <c r="G7" s="16" t="n">
        <v>1800</v>
      </c>
    </row>
    <row r="8" ht="16" customHeight="1">
      <c r="B8" s="34" t="inlineStr">
        <is>
          <t>Accounts Receivable</t>
        </is>
      </c>
      <c r="C8" s="16" t="n">
        <v>1750</v>
      </c>
      <c r="D8" s="16" t="n">
        <v>2271</v>
      </c>
      <c r="E8" s="16" t="n">
        <v>2270</v>
      </c>
      <c r="F8" s="16" t="n">
        <v>2473</v>
      </c>
      <c r="G8" s="16" t="n">
        <v>3283</v>
      </c>
    </row>
    <row r="9" ht="16" customHeight="1">
      <c r="B9" s="34" t="inlineStr">
        <is>
          <t>Inventory</t>
        </is>
      </c>
      <c r="C9" s="16" t="n">
        <v>1399</v>
      </c>
      <c r="D9" s="16" t="n">
        <v>1955</v>
      </c>
      <c r="E9" s="16" t="n">
        <v>1596</v>
      </c>
      <c r="F9" s="16" t="n">
        <v>1692</v>
      </c>
      <c r="G9" s="16" t="n">
        <v>2219</v>
      </c>
    </row>
    <row r="10" ht="16" customHeight="1">
      <c r="B10" s="34" t="inlineStr">
        <is>
          <t>Other Current Assets</t>
        </is>
      </c>
      <c r="C10" s="16" t="n">
        <v>500</v>
      </c>
      <c r="D10" s="16" t="n">
        <v>600</v>
      </c>
      <c r="E10" s="16" t="n">
        <v>650</v>
      </c>
      <c r="F10" s="16" t="n">
        <v>700</v>
      </c>
      <c r="G10" s="16" t="n">
        <v>750</v>
      </c>
    </row>
    <row r="11" ht="16" customHeight="1">
      <c r="B11" s="52" t="inlineStr">
        <is>
          <t>Total Current Assets</t>
        </is>
      </c>
      <c r="C11" s="37" t="n">
        <v>7412</v>
      </c>
      <c r="D11" s="37" t="n">
        <v>9661</v>
      </c>
      <c r="E11" s="37" t="n">
        <v>8449</v>
      </c>
      <c r="F11" s="37" t="n">
        <v>8652</v>
      </c>
      <c r="G11" s="37" t="n">
        <v>13591</v>
      </c>
    </row>
    <row r="12" ht="16" customHeight="1">
      <c r="B12" s="33" t="inlineStr">
        <is>
          <t>NON-CURRENT ASSETS</t>
        </is>
      </c>
    </row>
    <row r="13" ht="16" customHeight="1">
      <c r="B13" s="34" t="inlineStr">
        <is>
          <t>Property, Plant &amp; Equipment (net)</t>
        </is>
      </c>
      <c r="C13" s="16" t="n">
        <v>671</v>
      </c>
      <c r="D13" s="16" t="n">
        <v>1245</v>
      </c>
      <c r="E13" s="16" t="n">
        <v>1589</v>
      </c>
      <c r="F13" s="16" t="n">
        <v>2069</v>
      </c>
      <c r="G13" s="16" t="n">
        <v>2646</v>
      </c>
    </row>
    <row r="14" ht="16" customHeight="1">
      <c r="B14" s="34" t="inlineStr">
        <is>
          <t>Goodwill</t>
        </is>
      </c>
      <c r="C14" s="16" t="n">
        <v>289</v>
      </c>
      <c r="D14" s="16" t="n">
        <v>24177</v>
      </c>
      <c r="E14" s="16" t="n">
        <v>24177</v>
      </c>
      <c r="F14" s="16" t="n">
        <v>24177</v>
      </c>
      <c r="G14" s="16" t="n">
        <v>24177</v>
      </c>
    </row>
    <row r="15" ht="16" customHeight="1">
      <c r="B15" s="34" t="inlineStr">
        <is>
          <t>Intangible Assets (net)</t>
        </is>
      </c>
      <c r="C15" s="16" t="n">
        <v>2347</v>
      </c>
      <c r="D15" s="16" t="n">
        <v>25869</v>
      </c>
      <c r="E15" s="16" t="n">
        <v>23956</v>
      </c>
      <c r="F15" s="16" t="n">
        <v>22022</v>
      </c>
      <c r="G15" s="16" t="n">
        <v>19960</v>
      </c>
    </row>
    <row r="16" ht="16" customHeight="1">
      <c r="B16" s="34" t="inlineStr">
        <is>
          <t>Long-term Investments</t>
        </is>
      </c>
      <c r="C16" s="16" t="n">
        <v>1003</v>
      </c>
      <c r="D16" s="16" t="n">
        <v>1174</v>
      </c>
      <c r="E16" s="16" t="n">
        <v>1408</v>
      </c>
      <c r="F16" s="16" t="n">
        <v>1700</v>
      </c>
      <c r="G16" s="16" t="n">
        <v>1800</v>
      </c>
    </row>
    <row r="17" ht="16" customHeight="1">
      <c r="B17" s="34" t="inlineStr">
        <is>
          <t>Deferred Tax &amp; Other</t>
        </is>
      </c>
      <c r="C17" s="16" t="n">
        <v>697</v>
      </c>
      <c r="D17" s="16" t="n">
        <v>5454</v>
      </c>
      <c r="E17" s="16" t="n">
        <v>8306</v>
      </c>
      <c r="F17" s="16" t="n">
        <v>8606</v>
      </c>
      <c r="G17" s="16" t="n">
        <v>14752</v>
      </c>
    </row>
    <row r="18" ht="16" customHeight="1">
      <c r="B18" s="52" t="inlineStr">
        <is>
          <t>Total Non-Current Assets</t>
        </is>
      </c>
      <c r="C18" s="37" t="n">
        <v>5007</v>
      </c>
      <c r="D18" s="37" t="n">
        <v>57919</v>
      </c>
      <c r="E18" s="37" t="n">
        <v>59436</v>
      </c>
      <c r="F18" s="37" t="n">
        <v>60574</v>
      </c>
      <c r="G18" s="37" t="n">
        <v>63335</v>
      </c>
    </row>
    <row r="19" ht="16" customHeight="1">
      <c r="B19" s="52" t="inlineStr">
        <is>
          <t>TOTAL ASSETS</t>
        </is>
      </c>
      <c r="C19" s="37" t="n">
        <v>12419</v>
      </c>
      <c r="D19" s="37" t="n">
        <v>67580</v>
      </c>
      <c r="E19" s="37" t="n">
        <v>67885</v>
      </c>
      <c r="F19" s="37" t="n">
        <v>69226</v>
      </c>
      <c r="G19" s="37" t="n">
        <v>76926</v>
      </c>
    </row>
    <row r="20" ht="16" customHeight="1">
      <c r="B20" s="33" t="inlineStr">
        <is>
          <t>CURRENT LIABILITIES</t>
        </is>
      </c>
    </row>
    <row r="21" ht="16" customHeight="1">
      <c r="B21" s="34" t="inlineStr">
        <is>
          <t>Accounts Payable</t>
        </is>
      </c>
      <c r="C21" s="16" t="n">
        <v>1180</v>
      </c>
      <c r="D21" s="16" t="n">
        <v>1748</v>
      </c>
      <c r="E21" s="16" t="n">
        <v>1427</v>
      </c>
      <c r="F21" s="16" t="n">
        <v>2049</v>
      </c>
      <c r="G21" s="16" t="n">
        <v>2598</v>
      </c>
    </row>
    <row r="22" ht="16" customHeight="1">
      <c r="B22" s="34" t="inlineStr">
        <is>
          <t>Accrued Liabilities</t>
        </is>
      </c>
      <c r="C22" s="16" t="n">
        <v>890</v>
      </c>
      <c r="D22" s="16" t="n">
        <v>1200</v>
      </c>
      <c r="E22" s="16" t="n">
        <v>1300</v>
      </c>
      <c r="F22" s="16" t="n">
        <v>1400</v>
      </c>
      <c r="G22" s="16" t="n">
        <v>1600</v>
      </c>
    </row>
    <row r="23" ht="16" customHeight="1">
      <c r="B23" s="34" t="inlineStr">
        <is>
          <t>Short-term Debt</t>
        </is>
      </c>
      <c r="C23" s="16" t="n">
        <v>0</v>
      </c>
      <c r="D23" s="16" t="n">
        <v>0</v>
      </c>
      <c r="E23" s="16" t="n">
        <v>0</v>
      </c>
      <c r="F23" s="16" t="n">
        <v>0</v>
      </c>
      <c r="G23" s="16" t="n">
        <v>750</v>
      </c>
    </row>
    <row r="24" ht="16" customHeight="1">
      <c r="B24" s="34" t="inlineStr">
        <is>
          <t>Deferred Revenue (current)</t>
        </is>
      </c>
      <c r="C24" s="16" t="n">
        <v>180</v>
      </c>
      <c r="D24" s="16" t="n">
        <v>200</v>
      </c>
      <c r="E24" s="16" t="n">
        <v>210</v>
      </c>
      <c r="F24" s="16" t="n">
        <v>200</v>
      </c>
      <c r="G24" s="16" t="n">
        <v>220</v>
      </c>
    </row>
    <row r="25" ht="16" customHeight="1">
      <c r="B25" s="34" t="inlineStr">
        <is>
          <t>Other Current Liabilities</t>
        </is>
      </c>
      <c r="C25" s="16" t="n">
        <v>550</v>
      </c>
      <c r="D25" s="16" t="n">
        <v>700</v>
      </c>
      <c r="E25" s="16" t="n">
        <v>750</v>
      </c>
      <c r="F25" s="16" t="n">
        <v>800</v>
      </c>
      <c r="G25" s="16" t="n">
        <v>900</v>
      </c>
    </row>
    <row r="26" ht="16" customHeight="1">
      <c r="B26" s="52" t="inlineStr">
        <is>
          <t>Total Current Liabilities</t>
        </is>
      </c>
      <c r="C26" s="37" t="n">
        <v>2800</v>
      </c>
      <c r="D26" s="37" t="n">
        <v>3848</v>
      </c>
      <c r="E26" s="37" t="n">
        <v>3687</v>
      </c>
      <c r="F26" s="37" t="n">
        <v>4452</v>
      </c>
      <c r="G26" s="37" t="n">
        <v>6068</v>
      </c>
    </row>
    <row r="27" ht="16" customHeight="1">
      <c r="B27" s="33" t="inlineStr">
        <is>
          <t>NON-CURRENT LIABILITIES</t>
        </is>
      </c>
    </row>
    <row r="28" ht="16" customHeight="1">
      <c r="B28" s="34" t="inlineStr">
        <is>
          <t>Long-term Debt</t>
        </is>
      </c>
      <c r="C28" s="16" t="n">
        <v>661</v>
      </c>
      <c r="D28" s="16" t="n">
        <v>2863</v>
      </c>
      <c r="E28" s="16" t="n">
        <v>3003</v>
      </c>
      <c r="F28" s="16" t="n">
        <v>2212</v>
      </c>
      <c r="G28" s="16" t="n">
        <v>3722</v>
      </c>
    </row>
    <row r="29" ht="16" customHeight="1">
      <c r="B29" s="34" t="inlineStr">
        <is>
          <t>Deferred Tax Liabilities</t>
        </is>
      </c>
      <c r="C29" s="16" t="n">
        <v>350</v>
      </c>
      <c r="D29" s="16" t="n">
        <v>2800</v>
      </c>
      <c r="E29" s="16" t="n">
        <v>2950</v>
      </c>
      <c r="F29" s="16" t="n">
        <v>2500</v>
      </c>
      <c r="G29" s="16" t="n">
        <v>1980</v>
      </c>
    </row>
    <row r="30" ht="16" customHeight="1">
      <c r="B30" s="34" t="inlineStr">
        <is>
          <t>Other Long-term Liabilities</t>
        </is>
      </c>
      <c r="C30" s="16" t="n">
        <v>310</v>
      </c>
      <c r="D30" s="16" t="n">
        <v>350</v>
      </c>
      <c r="E30" s="16" t="n">
        <v>353</v>
      </c>
      <c r="F30" s="16" t="n">
        <v>2494</v>
      </c>
      <c r="G30" s="16" t="n">
        <v>2157</v>
      </c>
    </row>
    <row r="31" ht="16" customHeight="1">
      <c r="B31" s="52" t="inlineStr">
        <is>
          <t>Total Non-Current Liabilities</t>
        </is>
      </c>
      <c r="C31" s="37" t="n">
        <v>1321</v>
      </c>
      <c r="D31" s="37" t="n">
        <v>6013</v>
      </c>
      <c r="E31" s="37" t="n">
        <v>6306</v>
      </c>
      <c r="F31" s="37" t="n">
        <v>7206</v>
      </c>
      <c r="G31" s="37" t="n">
        <v>7859</v>
      </c>
    </row>
    <row r="32" ht="16" customHeight="1">
      <c r="B32" s="52" t="inlineStr">
        <is>
          <t>TOTAL LIABILITIES</t>
        </is>
      </c>
      <c r="C32" s="37" t="n">
        <v>4121</v>
      </c>
      <c r="D32" s="37" t="n">
        <v>9861</v>
      </c>
      <c r="E32" s="37" t="n">
        <v>9993</v>
      </c>
      <c r="F32" s="37" t="n">
        <v>11658</v>
      </c>
      <c r="G32" s="37" t="n">
        <v>13927</v>
      </c>
    </row>
    <row r="33" ht="16" customHeight="1">
      <c r="B33" s="33" t="inlineStr">
        <is>
          <t>STOCKHOLDERS EQUITY</t>
        </is>
      </c>
    </row>
    <row r="34" ht="16" customHeight="1">
      <c r="B34" s="34" t="inlineStr">
        <is>
          <t>Common Stock &amp; APIC</t>
        </is>
      </c>
      <c r="C34" s="16" t="n">
        <v>10834</v>
      </c>
      <c r="D34" s="16" t="n">
        <v>58621</v>
      </c>
      <c r="E34" s="16" t="n">
        <v>59866</v>
      </c>
      <c r="F34" s="16" t="n">
        <v>60780</v>
      </c>
      <c r="G34" s="16" t="n">
        <v>62424</v>
      </c>
    </row>
    <row r="35" ht="16" customHeight="1">
      <c r="B35" s="34" t="inlineStr">
        <is>
          <t>Retained Earnings (Deficit)</t>
        </is>
      </c>
      <c r="C35" s="16" t="n">
        <v>-3538</v>
      </c>
      <c r="D35" s="16" t="n">
        <v>-902</v>
      </c>
      <c r="E35" s="16" t="n">
        <v>-1974</v>
      </c>
      <c r="F35" s="16" t="n">
        <v>-3212</v>
      </c>
      <c r="G35" s="16" t="n">
        <v>575</v>
      </c>
    </row>
    <row r="36" ht="16" customHeight="1">
      <c r="B36" s="52" t="inlineStr">
        <is>
          <t>Total Stockholders' Equity</t>
        </is>
      </c>
      <c r="C36" s="37" t="n">
        <v>7297</v>
      </c>
      <c r="D36" s="37" t="n">
        <v>57719</v>
      </c>
      <c r="E36" s="37" t="n">
        <v>57892</v>
      </c>
      <c r="F36" s="37" t="n">
        <v>57568</v>
      </c>
      <c r="G36" s="37" t="n">
        <v>62999</v>
      </c>
    </row>
    <row r="37" ht="16" customHeight="1">
      <c r="B37" s="52" t="inlineStr">
        <is>
          <t>TOTAL LIABILITIES + EQUITY</t>
        </is>
      </c>
      <c r="C37" s="37" t="n">
        <v>12419</v>
      </c>
      <c r="D37" s="37" t="n">
        <v>67580</v>
      </c>
      <c r="E37" s="37" t="n">
        <v>67885</v>
      </c>
      <c r="F37" s="37" t="n">
        <v>69226</v>
      </c>
      <c r="G37" s="37" t="n">
        <v>76926</v>
      </c>
    </row>
    <row r="38" ht="16" customHeight="1">
      <c r="B38" s="33" t="inlineStr">
        <is>
          <t>KEY METRICS</t>
        </is>
      </c>
    </row>
    <row r="39" ht="16" customHeight="1">
      <c r="B39" s="34" t="inlineStr">
        <is>
          <t>Total Debt</t>
        </is>
      </c>
      <c r="C39" s="16" t="n">
        <v>661</v>
      </c>
      <c r="D39" s="16" t="n">
        <v>2863</v>
      </c>
      <c r="E39" s="16" t="n">
        <v>3003</v>
      </c>
      <c r="F39" s="16" t="n">
        <v>2212</v>
      </c>
      <c r="G39" s="16" t="n">
        <v>4472</v>
      </c>
    </row>
    <row r="40" ht="16" customHeight="1">
      <c r="B40" s="34" t="inlineStr">
        <is>
          <t>Net Debt / (Cash)</t>
        </is>
      </c>
      <c r="C40" s="16" t="n">
        <v>-3102</v>
      </c>
      <c r="D40" s="16" t="n">
        <v>-1972</v>
      </c>
      <c r="E40" s="16" t="n">
        <v>-930</v>
      </c>
      <c r="F40" s="16" t="n">
        <v>-1575</v>
      </c>
      <c r="G40" s="16" t="n">
        <v>-867</v>
      </c>
    </row>
    <row r="41" ht="16" customHeight="1">
      <c r="B41" s="34" t="inlineStr">
        <is>
          <t>Net Debt / Adj. EBITDA</t>
        </is>
      </c>
      <c r="C41" s="53" t="n">
        <v>-0.693029490616622</v>
      </c>
      <c r="D41" s="53" t="n">
        <v>-0.2828862430067422</v>
      </c>
      <c r="E41" s="53" t="n">
        <v>-0.1692139737991266</v>
      </c>
      <c r="F41" s="53" t="n">
        <v>-0.2312775330396476</v>
      </c>
      <c r="G41" s="53" t="n">
        <v>-0.1017486210538669</v>
      </c>
    </row>
    <row r="42" ht="16" customHeight="1">
      <c r="B42" s="34" t="inlineStr">
        <is>
          <t>Current Ratio</t>
        </is>
      </c>
      <c r="C42" s="53" t="n">
        <v>2.65</v>
      </c>
      <c r="D42" s="53" t="n">
        <v>2.51</v>
      </c>
      <c r="E42" s="53" t="n">
        <v>2.29</v>
      </c>
      <c r="F42" s="53" t="n">
        <v>1.94</v>
      </c>
      <c r="G42" s="53" t="n">
        <v>2.24</v>
      </c>
    </row>
    <row r="43" ht="16" customHeight="1">
      <c r="B43" s="34" t="inlineStr">
        <is>
          <t>Goodwill / Total Assets</t>
        </is>
      </c>
      <c r="C43" s="10" t="n">
        <v>0.023</v>
      </c>
      <c r="D43" s="10" t="n">
        <v>0.358</v>
      </c>
      <c r="E43" s="10" t="n">
        <v>0.356</v>
      </c>
      <c r="F43" s="10" t="n">
        <v>0.349</v>
      </c>
      <c r="G43" s="10" t="n">
        <v>0.314</v>
      </c>
    </row>
    <row r="44"/>
    <row r="45">
      <c r="B45" s="27" t="inlineStr">
        <is>
          <t>Sources: AMD 10-K FY2021–FY2025 Annual Reports. Note: FY2021 reflects pre-Xilinx acquisition balance sheet. Goodwill and intangibles jump in FY2022 reflects $49B Xilinx acquisition.</t>
        </is>
      </c>
    </row>
  </sheetData>
  <mergeCells count="8">
    <mergeCell ref="B38:G38"/>
    <mergeCell ref="B20:G20"/>
    <mergeCell ref="B5:G5"/>
    <mergeCell ref="B45:J45"/>
    <mergeCell ref="B27:G27"/>
    <mergeCell ref="B12:G12"/>
    <mergeCell ref="B33:G33"/>
    <mergeCell ref="B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/>
    <row r="2" ht="28" customHeight="1">
      <c r="B2" s="28" t="inlineStr">
        <is>
          <t>AMD — CASH FLOW STATEMENT  ($M)  |  Historical + Base Case Projections</t>
        </is>
      </c>
    </row>
    <row r="3"/>
    <row r="4" ht="24" customHeight="1">
      <c r="B4" s="7" t="inlineStr">
        <is>
          <t>Cash Flow ($M)</t>
        </is>
      </c>
      <c r="C4" s="7" t="inlineStr">
        <is>
          <t>FY2021A</t>
        </is>
      </c>
      <c r="D4" s="7" t="inlineStr">
        <is>
          <t>FY2022A</t>
        </is>
      </c>
      <c r="E4" s="7" t="inlineStr">
        <is>
          <t>FY2023A</t>
        </is>
      </c>
      <c r="F4" s="7" t="inlineStr">
        <is>
          <t>FY2024A</t>
        </is>
      </c>
      <c r="G4" s="7" t="inlineStr">
        <is>
          <t>FY2025A</t>
        </is>
      </c>
      <c r="H4" s="7" t="inlineStr">
        <is>
          <t>FY2026E</t>
        </is>
      </c>
      <c r="I4" s="7" t="inlineStr">
        <is>
          <t>FY2027E</t>
        </is>
      </c>
      <c r="J4" s="7" t="inlineStr">
        <is>
          <t>FY2028E</t>
        </is>
      </c>
    </row>
    <row r="5" ht="16" customHeight="1">
      <c r="B5" s="33" t="inlineStr">
        <is>
          <t>OPERATING ACTIVITIES</t>
        </is>
      </c>
    </row>
    <row r="6" ht="16" customHeight="1">
      <c r="B6" s="43" t="inlineStr">
        <is>
          <t>Net Income (GAAP)</t>
        </is>
      </c>
      <c r="C6" s="16" t="n">
        <v>3162</v>
      </c>
      <c r="D6" s="16" t="n">
        <v>1320</v>
      </c>
      <c r="E6" s="16" t="n">
        <v>854</v>
      </c>
      <c r="F6" s="16" t="n">
        <v>1641</v>
      </c>
      <c r="G6" s="16" t="n">
        <v>4335</v>
      </c>
      <c r="H6" s="16" t="n">
        <v>9849</v>
      </c>
      <c r="I6" s="16" t="n">
        <v>16980</v>
      </c>
      <c r="J6" s="16" t="n">
        <v>23518</v>
      </c>
    </row>
    <row r="7" ht="16" customHeight="1">
      <c r="B7" s="43" t="inlineStr">
        <is>
          <t>Depreciation &amp; Amortization</t>
        </is>
      </c>
      <c r="C7" s="16" t="n">
        <v>1148</v>
      </c>
      <c r="D7" s="16" t="n">
        <v>2196</v>
      </c>
      <c r="E7" s="16" t="n">
        <v>2542</v>
      </c>
      <c r="F7" s="16" t="n">
        <v>2668</v>
      </c>
      <c r="G7" s="16" t="n">
        <v>3316</v>
      </c>
      <c r="H7" s="16" t="n">
        <v>5172</v>
      </c>
      <c r="I7" s="16" t="n">
        <v>7880</v>
      </c>
      <c r="J7" s="16" t="n">
        <v>10620</v>
      </c>
    </row>
    <row r="8" ht="16" customHeight="1">
      <c r="B8" s="43" t="inlineStr">
        <is>
          <t>Stock-Based Compensation</t>
        </is>
      </c>
      <c r="C8" s="16" t="n">
        <v>575</v>
      </c>
      <c r="D8" s="16" t="n">
        <v>1005</v>
      </c>
      <c r="E8" s="16" t="n">
        <v>1168</v>
      </c>
      <c r="F8" s="16" t="n">
        <v>1401</v>
      </c>
      <c r="G8" s="16" t="n">
        <v>1551</v>
      </c>
      <c r="H8" s="16" t="n">
        <v>1969</v>
      </c>
      <c r="I8" s="16" t="n">
        <v>3004</v>
      </c>
      <c r="J8" s="16" t="n">
        <v>4046</v>
      </c>
    </row>
    <row r="9" ht="16" customHeight="1">
      <c r="B9" s="43" t="inlineStr">
        <is>
          <t>Working Capital Changes</t>
        </is>
      </c>
      <c r="C9" s="16" t="n">
        <v>-565</v>
      </c>
      <c r="D9" s="16" t="n">
        <v>-988</v>
      </c>
      <c r="E9" s="16" t="n">
        <v>-897</v>
      </c>
      <c r="F9" s="16" t="n">
        <v>-673</v>
      </c>
      <c r="G9" s="16" t="n">
        <v>753</v>
      </c>
      <c r="H9" s="16" t="n">
        <v>-1969</v>
      </c>
      <c r="I9" s="16" t="n">
        <v>-4506</v>
      </c>
      <c r="J9" s="16" t="n">
        <v>-7081</v>
      </c>
    </row>
    <row r="10" ht="16" customHeight="1">
      <c r="B10" s="34" t="inlineStr">
        <is>
          <t xml:space="preserve">  Accounts Receivable</t>
        </is>
      </c>
      <c r="C10" s="16" t="n">
        <v>-350</v>
      </c>
      <c r="D10" s="16" t="n">
        <v>-521</v>
      </c>
      <c r="E10" s="16" t="n">
        <v>-269</v>
      </c>
      <c r="F10" s="16" t="n">
        <v>-203</v>
      </c>
      <c r="G10" s="16" t="n">
        <v>-810</v>
      </c>
      <c r="H10" s="16" t="n">
        <v>-1200</v>
      </c>
      <c r="I10" s="16" t="n">
        <v>-3000</v>
      </c>
      <c r="J10" s="16" t="n">
        <v>-4000</v>
      </c>
    </row>
    <row r="11" ht="16" customHeight="1">
      <c r="B11" s="34" t="inlineStr">
        <is>
          <t xml:space="preserve">  Inventory</t>
        </is>
      </c>
      <c r="C11" s="16" t="n">
        <v>-200</v>
      </c>
      <c r="D11" s="16" t="n">
        <v>-556</v>
      </c>
      <c r="E11" s="16" t="n">
        <v>359</v>
      </c>
      <c r="F11" s="16" t="n">
        <v>-96</v>
      </c>
      <c r="G11" s="16" t="n">
        <v>-527</v>
      </c>
      <c r="H11" s="16" t="n">
        <v>-769</v>
      </c>
      <c r="I11" s="16" t="n">
        <v>-2256</v>
      </c>
      <c r="J11" s="16" t="n">
        <v>-3081</v>
      </c>
    </row>
    <row r="12" ht="16" customHeight="1">
      <c r="B12" s="34" t="inlineStr">
        <is>
          <t xml:space="preserve">  Accounts Payable</t>
        </is>
      </c>
      <c r="C12" s="16" t="n">
        <v>300</v>
      </c>
      <c r="D12" s="16" t="n">
        <v>250</v>
      </c>
      <c r="E12" s="16" t="n">
        <v>-421</v>
      </c>
      <c r="F12" s="16" t="n">
        <v>622</v>
      </c>
      <c r="G12" s="16" t="n">
        <v>549</v>
      </c>
      <c r="H12" s="16" t="n">
        <v>0</v>
      </c>
      <c r="I12" s="16" t="n">
        <v>750</v>
      </c>
      <c r="J12" s="16" t="n">
        <v>1000</v>
      </c>
    </row>
    <row r="13" ht="16" customHeight="1">
      <c r="B13" s="43" t="inlineStr">
        <is>
          <t>Other Operating</t>
        </is>
      </c>
      <c r="C13" s="16" t="n">
        <v>-799</v>
      </c>
      <c r="D13" s="16" t="n">
        <v>32</v>
      </c>
      <c r="E13" s="16" t="n">
        <v>0</v>
      </c>
      <c r="F13" s="16" t="n">
        <v>4</v>
      </c>
      <c r="G13" s="16" t="n">
        <v>-245</v>
      </c>
      <c r="H13" s="16" t="n">
        <v>0</v>
      </c>
      <c r="I13" s="16" t="n">
        <v>0</v>
      </c>
      <c r="J13" s="16" t="n">
        <v>0</v>
      </c>
    </row>
    <row r="14" ht="16" customHeight="1">
      <c r="B14" s="52" t="inlineStr">
        <is>
          <t>Operating Cash Flow (OCF)</t>
        </is>
      </c>
      <c r="C14" s="37" t="n">
        <v>3521</v>
      </c>
      <c r="D14" s="37" t="n">
        <v>3565</v>
      </c>
      <c r="E14" s="37" t="n">
        <v>1667</v>
      </c>
      <c r="F14" s="37" t="n">
        <v>3041</v>
      </c>
      <c r="G14" s="37" t="n">
        <v>7709</v>
      </c>
      <c r="H14" s="37" t="n">
        <v>15021</v>
      </c>
      <c r="I14" s="37" t="n">
        <v>23358</v>
      </c>
      <c r="J14" s="37" t="n">
        <v>31103</v>
      </c>
    </row>
    <row r="15" ht="16" customHeight="1">
      <c r="B15" s="34" t="inlineStr">
        <is>
          <t xml:space="preserve">  OCF Margin</t>
        </is>
      </c>
      <c r="C15" s="10" t="n">
        <v>0.214</v>
      </c>
      <c r="D15" s="10" t="n">
        <v>0.151</v>
      </c>
      <c r="E15" s="10" t="n">
        <v>0.074</v>
      </c>
      <c r="F15" s="10" t="n">
        <v>0.118</v>
      </c>
      <c r="G15" s="10" t="n">
        <v>0.223</v>
      </c>
      <c r="H15" s="10" t="n">
        <v>0.305</v>
      </c>
      <c r="I15" s="10" t="n">
        <v>0.311</v>
      </c>
      <c r="J15" s="10" t="n">
        <v>0.308</v>
      </c>
    </row>
    <row r="16" ht="16" customHeight="1">
      <c r="B16" s="33" t="inlineStr">
        <is>
          <t>INVESTING ACTIVITIES</t>
        </is>
      </c>
    </row>
    <row r="17" ht="16" customHeight="1">
      <c r="B17" s="43" t="inlineStr">
        <is>
          <t>Capital Expenditure (CapEx)</t>
        </is>
      </c>
      <c r="C17" s="16" t="n">
        <v>-301</v>
      </c>
      <c r="D17" s="16" t="n">
        <v>-450</v>
      </c>
      <c r="E17" s="16" t="n">
        <v>-546</v>
      </c>
      <c r="F17" s="16" t="n">
        <v>-636</v>
      </c>
      <c r="G17" s="16" t="n">
        <v>-974</v>
      </c>
      <c r="H17" s="16" t="n">
        <v>-1972</v>
      </c>
      <c r="I17" s="16" t="n">
        <v>-3004</v>
      </c>
      <c r="J17" s="16" t="n">
        <v>-4046</v>
      </c>
    </row>
    <row r="18" ht="16" customHeight="1">
      <c r="B18" s="34" t="inlineStr">
        <is>
          <t xml:space="preserve">  CapEx as % of Revenue</t>
        </is>
      </c>
      <c r="C18" s="10" t="n">
        <v>0.018</v>
      </c>
      <c r="D18" s="10" t="n">
        <v>0.019</v>
      </c>
      <c r="E18" s="10" t="n">
        <v>0.024</v>
      </c>
      <c r="F18" s="10" t="n">
        <v>0.025</v>
      </c>
      <c r="G18" s="10" t="n">
        <v>0.028</v>
      </c>
      <c r="H18" s="10" t="n">
        <v>0.04</v>
      </c>
      <c r="I18" s="10" t="n">
        <v>0.04</v>
      </c>
      <c r="J18" s="10" t="n">
        <v>0.04</v>
      </c>
    </row>
    <row r="19" ht="16" customHeight="1">
      <c r="B19" s="43" t="inlineStr">
        <is>
          <t>Acquisitions (net)</t>
        </is>
      </c>
      <c r="C19" s="16" t="n">
        <v>0</v>
      </c>
      <c r="D19" s="16" t="n">
        <v>-48</v>
      </c>
      <c r="E19" s="16" t="n">
        <v>-25</v>
      </c>
      <c r="F19" s="16" t="n">
        <v>0</v>
      </c>
      <c r="G19" s="16" t="n">
        <v>0</v>
      </c>
      <c r="H19" s="16" t="n">
        <v>0</v>
      </c>
      <c r="I19" s="16" t="n">
        <v>0</v>
      </c>
      <c r="J19" s="16" t="n">
        <v>0</v>
      </c>
    </row>
    <row r="20" ht="16" customHeight="1">
      <c r="B20" s="43" t="inlineStr">
        <is>
          <t>Purchases of Investments</t>
        </is>
      </c>
      <c r="C20" s="16" t="n">
        <v>-1200</v>
      </c>
      <c r="D20" s="16" t="n">
        <v>-1800</v>
      </c>
      <c r="E20" s="16" t="n">
        <v>-1400</v>
      </c>
      <c r="F20" s="16" t="n">
        <v>-1500</v>
      </c>
      <c r="G20" s="16" t="n">
        <v>-2000</v>
      </c>
      <c r="H20" s="16" t="n">
        <v>-2000</v>
      </c>
      <c r="I20" s="16" t="n">
        <v>-2000</v>
      </c>
      <c r="J20" s="16" t="n">
        <v>-2000</v>
      </c>
    </row>
    <row r="21" ht="16" customHeight="1">
      <c r="B21" s="43" t="inlineStr">
        <is>
          <t>Sales of Investments</t>
        </is>
      </c>
      <c r="C21" s="16" t="n">
        <v>1000</v>
      </c>
      <c r="D21" s="16" t="n">
        <v>1800</v>
      </c>
      <c r="E21" s="16" t="n">
        <v>1200</v>
      </c>
      <c r="F21" s="16" t="n">
        <v>1200</v>
      </c>
      <c r="G21" s="16" t="n">
        <v>1800</v>
      </c>
      <c r="H21" s="16" t="n">
        <v>2000</v>
      </c>
      <c r="I21" s="16" t="n">
        <v>2000</v>
      </c>
      <c r="J21" s="16" t="n">
        <v>2000</v>
      </c>
    </row>
    <row r="22" ht="16" customHeight="1">
      <c r="B22" s="43" t="inlineStr">
        <is>
          <t>Other Investing</t>
        </is>
      </c>
      <c r="C22" s="16" t="n">
        <v>-200</v>
      </c>
      <c r="D22" s="16" t="n">
        <v>-150</v>
      </c>
      <c r="E22" s="16" t="n">
        <v>-100</v>
      </c>
      <c r="F22" s="16" t="n">
        <v>-100</v>
      </c>
      <c r="G22" s="16" t="n">
        <v>-100</v>
      </c>
      <c r="H22" s="16" t="n">
        <v>-100</v>
      </c>
      <c r="I22" s="16" t="n">
        <v>-100</v>
      </c>
      <c r="J22" s="16" t="n">
        <v>-100</v>
      </c>
    </row>
    <row r="23" ht="16" customHeight="1">
      <c r="B23" s="52" t="inlineStr">
        <is>
          <t>Net Investing Cash Flow</t>
        </is>
      </c>
      <c r="C23" s="37" t="n">
        <v>-701</v>
      </c>
      <c r="D23" s="37" t="n">
        <v>-598</v>
      </c>
      <c r="E23" s="37" t="n">
        <v>-871</v>
      </c>
      <c r="F23" s="37" t="n">
        <v>-1036</v>
      </c>
      <c r="G23" s="37" t="n">
        <v>-1274</v>
      </c>
      <c r="H23" s="37" t="n">
        <v>-2072</v>
      </c>
      <c r="I23" s="37" t="n">
        <v>-3104</v>
      </c>
      <c r="J23" s="37" t="n">
        <v>-4146</v>
      </c>
    </row>
    <row r="24" ht="16" customHeight="1">
      <c r="B24" s="33" t="inlineStr">
        <is>
          <t>FINANCING ACTIVITIES</t>
        </is>
      </c>
    </row>
    <row r="25" ht="16" customHeight="1">
      <c r="B25" s="43" t="inlineStr">
        <is>
          <t>Common Stock Repurchased</t>
        </is>
      </c>
      <c r="C25" s="16" t="n">
        <v>0</v>
      </c>
      <c r="D25" s="16" t="n">
        <v>0</v>
      </c>
      <c r="E25" s="16" t="n">
        <v>0</v>
      </c>
      <c r="F25" s="16" t="n">
        <v>-985</v>
      </c>
      <c r="G25" s="16" t="n">
        <v>-1064</v>
      </c>
      <c r="H25" s="16" t="n">
        <v>-1500</v>
      </c>
      <c r="I25" s="16" t="n">
        <v>-2000</v>
      </c>
      <c r="J25" s="16" t="n">
        <v>-2500</v>
      </c>
    </row>
    <row r="26" ht="16" customHeight="1">
      <c r="B26" s="43" t="inlineStr">
        <is>
          <t>Proceeds from Debt</t>
        </is>
      </c>
      <c r="C26" s="16" t="n">
        <v>0</v>
      </c>
      <c r="D26" s="16" t="n">
        <v>3000</v>
      </c>
      <c r="E26" s="16" t="n">
        <v>1988</v>
      </c>
      <c r="F26" s="16" t="n">
        <v>0</v>
      </c>
      <c r="G26" s="16" t="n">
        <v>1988</v>
      </c>
      <c r="H26" s="16" t="n">
        <v>0</v>
      </c>
      <c r="I26" s="16" t="n">
        <v>0</v>
      </c>
      <c r="J26" s="16" t="n">
        <v>0</v>
      </c>
    </row>
    <row r="27" ht="16" customHeight="1">
      <c r="B27" s="43" t="inlineStr">
        <is>
          <t>Repayment of Debt</t>
        </is>
      </c>
      <c r="C27" s="16" t="n">
        <v>0</v>
      </c>
      <c r="D27" s="16" t="n">
        <v>-300</v>
      </c>
      <c r="E27" s="16" t="n">
        <v>-1988</v>
      </c>
      <c r="F27" s="16" t="n">
        <v>-991</v>
      </c>
      <c r="G27" s="16" t="n">
        <v>0</v>
      </c>
      <c r="H27" s="16" t="n">
        <v>-250</v>
      </c>
      <c r="I27" s="16" t="n">
        <v>0</v>
      </c>
      <c r="J27" s="16" t="n">
        <v>0</v>
      </c>
    </row>
    <row r="28" ht="16" customHeight="1">
      <c r="B28" s="43" t="inlineStr">
        <is>
          <t>Other Financing</t>
        </is>
      </c>
      <c r="C28" s="16" t="n">
        <v>-200</v>
      </c>
      <c r="D28" s="16" t="n">
        <v>-100</v>
      </c>
      <c r="E28" s="16" t="n">
        <v>-200</v>
      </c>
      <c r="F28" s="16" t="n">
        <v>-50</v>
      </c>
      <c r="G28" s="16" t="n">
        <v>-217</v>
      </c>
      <c r="H28" s="16" t="n">
        <v>-200</v>
      </c>
      <c r="I28" s="16" t="n">
        <v>-200</v>
      </c>
      <c r="J28" s="16" t="n">
        <v>-200</v>
      </c>
    </row>
    <row r="29" ht="16" customHeight="1">
      <c r="B29" s="52" t="inlineStr">
        <is>
          <t>Net Financing Cash Flow</t>
        </is>
      </c>
      <c r="C29" s="37" t="n">
        <v>-200</v>
      </c>
      <c r="D29" s="37" t="n">
        <v>2600</v>
      </c>
      <c r="E29" s="37" t="n">
        <v>-200</v>
      </c>
      <c r="F29" s="37" t="n">
        <v>-2026</v>
      </c>
      <c r="G29" s="37" t="n">
        <v>707</v>
      </c>
      <c r="H29" s="37" t="n">
        <v>-1950</v>
      </c>
      <c r="I29" s="37" t="n">
        <v>-2200</v>
      </c>
      <c r="J29" s="37" t="n">
        <v>-2700</v>
      </c>
    </row>
    <row r="30" ht="16" customHeight="1">
      <c r="B30" s="33" t="inlineStr">
        <is>
          <t>FREE CASH FLOW</t>
        </is>
      </c>
    </row>
    <row r="31" ht="16" customHeight="1">
      <c r="B31" s="52" t="inlineStr">
        <is>
          <t>Free Cash Flow (FCF)</t>
        </is>
      </c>
      <c r="C31" s="37" t="n">
        <v>3220</v>
      </c>
      <c r="D31" s="37" t="n">
        <v>3115</v>
      </c>
      <c r="E31" s="37" t="n">
        <v>1121</v>
      </c>
      <c r="F31" s="37" t="n">
        <v>2405</v>
      </c>
      <c r="G31" s="37" t="n">
        <v>6735</v>
      </c>
      <c r="H31" s="37" t="n">
        <v>13049</v>
      </c>
      <c r="I31" s="37" t="n">
        <v>20354</v>
      </c>
      <c r="J31" s="37" t="n">
        <v>27057</v>
      </c>
    </row>
    <row r="32" ht="16" customHeight="1">
      <c r="B32" s="34" t="inlineStr">
        <is>
          <t xml:space="preserve">  FCF Margin</t>
        </is>
      </c>
      <c r="C32" s="10" t="n">
        <v>0.196</v>
      </c>
      <c r="D32" s="10" t="n">
        <v>0.132</v>
      </c>
      <c r="E32" s="10" t="n">
        <v>0.049</v>
      </c>
      <c r="F32" s="10" t="n">
        <v>0.093</v>
      </c>
      <c r="G32" s="10" t="n">
        <v>0.194</v>
      </c>
      <c r="H32" s="10" t="n">
        <v>0.265</v>
      </c>
      <c r="I32" s="10" t="n">
        <v>0.271</v>
      </c>
      <c r="J32" s="10" t="n">
        <v>0.268</v>
      </c>
    </row>
    <row r="33" ht="16" customHeight="1">
      <c r="B33" s="34" t="inlineStr">
        <is>
          <t xml:space="preserve">  FCF Conversion (FCF/NI)</t>
        </is>
      </c>
      <c r="C33" s="10" t="n">
        <v>1.018</v>
      </c>
      <c r="D33" s="10" t="n">
        <v>2.36</v>
      </c>
      <c r="E33" s="10" t="n">
        <v>1.312</v>
      </c>
      <c r="F33" s="10" t="n">
        <v>1.466</v>
      </c>
      <c r="G33" s="10" t="n">
        <v>1.554</v>
      </c>
      <c r="H33" s="10" t="n">
        <v>1.325</v>
      </c>
      <c r="I33" s="10" t="n">
        <v>1.199</v>
      </c>
      <c r="J33" s="10" t="n">
        <v>1.15</v>
      </c>
    </row>
    <row r="34" ht="16" customHeight="1">
      <c r="B34" s="43" t="inlineStr">
        <is>
          <t>Net Change in Cash</t>
        </is>
      </c>
      <c r="C34" s="16" t="n">
        <v>2620</v>
      </c>
      <c r="D34" s="16" t="n">
        <v>5567</v>
      </c>
      <c r="E34" s="16" t="n">
        <v>596</v>
      </c>
      <c r="F34" s="16" t="n">
        <v>-2021</v>
      </c>
      <c r="G34" s="16" t="n">
        <v>7142</v>
      </c>
      <c r="H34" s="16" t="n">
        <v>10999</v>
      </c>
      <c r="I34" s="16" t="n">
        <v>18054</v>
      </c>
      <c r="J34" s="16" t="n">
        <v>24257</v>
      </c>
    </row>
    <row r="35" ht="16" customHeight="1">
      <c r="B35" s="52" t="inlineStr">
        <is>
          <t>Cash at Period End</t>
        </is>
      </c>
      <c r="C35" s="37" t="n">
        <v>2535</v>
      </c>
      <c r="D35" s="37" t="n">
        <v>4835</v>
      </c>
      <c r="E35" s="37" t="n">
        <v>3933</v>
      </c>
      <c r="F35" s="37" t="n">
        <v>3787</v>
      </c>
      <c r="G35" s="37" t="n">
        <v>5539</v>
      </c>
      <c r="H35" s="37" t="n">
        <v>16538</v>
      </c>
      <c r="I35" s="37" t="n">
        <v>34592</v>
      </c>
      <c r="J35" s="37" t="n">
        <v>58849</v>
      </c>
    </row>
    <row r="36"/>
    <row r="37">
      <c r="B37" s="27" t="inlineStr">
        <is>
          <t>Sources: AMD 10-K FY2021–FY2025. FY2026–FY2028E projections derived from consensus estimates and analyst models. Free Cash Flow = OCF - CapEx.</t>
        </is>
      </c>
    </row>
  </sheetData>
  <mergeCells count="6">
    <mergeCell ref="B24:J24"/>
    <mergeCell ref="B5:J5"/>
    <mergeCell ref="B37:J37"/>
    <mergeCell ref="B2:J2"/>
    <mergeCell ref="B30:J30"/>
    <mergeCell ref="B16:J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 outlineLevelCol="0"/>
  <cols>
    <col width="3" customWidth="1" min="1" max="1"/>
    <col width="5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/>
    <row r="2" ht="28" customHeight="1">
      <c r="B2" s="28" t="inlineStr">
        <is>
          <t>AMD — DISCOUNTED CASH FLOW (DCF) VALUATION MODEL</t>
        </is>
      </c>
    </row>
    <row r="3"/>
    <row r="4">
      <c r="B4" s="33" t="inlineStr">
        <is>
          <t>WACC CALCULATION</t>
        </is>
      </c>
    </row>
    <row r="5" ht="18" customHeight="1">
      <c r="B5" s="43" t="inlineStr">
        <is>
          <t>Risk-Free Rate (10Y US Treasury)</t>
        </is>
      </c>
      <c r="C5" s="54" t="n">
        <v>0.0442</v>
      </c>
    </row>
    <row r="6" ht="18" customHeight="1">
      <c r="B6" s="43" t="inlineStr">
        <is>
          <t>Equity Risk Premium (ERP)</t>
        </is>
      </c>
      <c r="C6" s="54" t="n">
        <v>0.0518</v>
      </c>
    </row>
    <row r="7" ht="18" customHeight="1">
      <c r="B7" s="43" t="inlineStr">
        <is>
          <t>Beta (5Y weekly vs. S&amp;P 500)</t>
        </is>
      </c>
      <c r="C7" s="55" t="n">
        <v>1.23</v>
      </c>
    </row>
    <row r="8" ht="18" customHeight="1">
      <c r="B8" s="52" t="inlineStr">
        <is>
          <t>Cost of Equity  [Ke = Rf + β × ERP]</t>
        </is>
      </c>
      <c r="C8" s="17">
        <f>C5+C7*C6</f>
        <v/>
      </c>
    </row>
    <row r="9" ht="18" customHeight="1">
      <c r="B9" s="43" t="inlineStr">
        <is>
          <t>Pre-Tax Cost of Debt (Kd)</t>
        </is>
      </c>
      <c r="C9" s="54" t="n">
        <v>0.0518</v>
      </c>
    </row>
    <row r="10" ht="18" customHeight="1">
      <c r="B10" s="43" t="inlineStr">
        <is>
          <t>Tax Rate</t>
        </is>
      </c>
      <c r="C10" s="54" t="n">
        <v>0.267</v>
      </c>
    </row>
    <row r="11" ht="18" customHeight="1">
      <c r="B11" s="52" t="inlineStr">
        <is>
          <t>After-Tax Cost of Debt</t>
        </is>
      </c>
      <c r="C11" s="17">
        <f>C9*(1-C10)</f>
        <v/>
      </c>
    </row>
    <row r="12" ht="18" customHeight="1">
      <c r="B12" s="43" t="inlineStr">
        <is>
          <t>Equity Weight (E/V)</t>
        </is>
      </c>
      <c r="C12" s="54" t="n">
        <v>0.994</v>
      </c>
    </row>
    <row r="13" ht="18" customHeight="1">
      <c r="B13" s="43" t="inlineStr">
        <is>
          <t>Debt Weight (D/V)</t>
        </is>
      </c>
      <c r="C13" s="54" t="n">
        <v>0.006</v>
      </c>
    </row>
    <row r="14" ht="18" customHeight="1">
      <c r="B14" s="52" t="inlineStr">
        <is>
          <t>WACC  [= E/V × Ke + D/V × Kd × (1-T)]</t>
        </is>
      </c>
      <c r="C14" s="56">
        <f>C12*C8+C13*C11</f>
        <v/>
      </c>
    </row>
    <row r="15"/>
    <row r="16">
      <c r="B16" s="33" t="inlineStr">
        <is>
          <t>TERMINAL VALUE ASSUMPTIONS</t>
        </is>
      </c>
    </row>
    <row r="17" ht="18" customHeight="1">
      <c r="B17" s="43" t="inlineStr">
        <is>
          <t>Terminal Growth Rate (g)</t>
        </is>
      </c>
      <c r="C17" s="54" t="n">
        <v>0.03</v>
      </c>
    </row>
    <row r="18" ht="18" customHeight="1">
      <c r="B18" s="43" t="inlineStr">
        <is>
          <t>Exit EV/EBITDA Multiple</t>
        </is>
      </c>
      <c r="C18" s="57" t="n">
        <v>25</v>
      </c>
    </row>
    <row r="19" ht="18" customHeight="1">
      <c r="B19" s="43" t="inlineStr">
        <is>
          <t>Discount Horizon (years)</t>
        </is>
      </c>
      <c r="C19" s="58" t="n">
        <v>5</v>
      </c>
    </row>
    <row r="20"/>
    <row r="21"/>
    <row r="22">
      <c r="B22" s="33" t="inlineStr">
        <is>
          <t>UNLEVERED FREE CASH FLOW (UFCF) — BASE CASE</t>
        </is>
      </c>
    </row>
    <row r="23" ht="24" customHeight="1">
      <c r="B23" s="7" t="inlineStr">
        <is>
          <t>($M)</t>
        </is>
      </c>
      <c r="C23" s="7" t="inlineStr">
        <is>
          <t>FY2026E</t>
        </is>
      </c>
      <c r="D23" s="7" t="inlineStr">
        <is>
          <t>FY2027E</t>
        </is>
      </c>
      <c r="E23" s="7" t="inlineStr">
        <is>
          <t>FY2028E</t>
        </is>
      </c>
      <c r="F23" s="7" t="inlineStr">
        <is>
          <t>FY2029E</t>
        </is>
      </c>
      <c r="G23" s="7" t="inlineStr">
        <is>
          <t>FY2030E</t>
        </is>
      </c>
      <c r="H23" s="7" t="inlineStr">
        <is>
          <t>Source / Assumption</t>
        </is>
      </c>
    </row>
    <row r="24" ht="17" customHeight="1">
      <c r="B24" s="49" t="inlineStr">
        <is>
          <t>Revenue</t>
        </is>
      </c>
      <c r="C24" s="46" t="n">
        <v>49292</v>
      </c>
      <c r="D24" s="46" t="n">
        <v>75102</v>
      </c>
      <c r="E24" s="46" t="n">
        <v>101147</v>
      </c>
      <c r="F24" s="46" t="n">
        <v>128300</v>
      </c>
      <c r="G24" s="46" t="n">
        <v>150000</v>
      </c>
      <c r="H24" s="47" t="n"/>
    </row>
    <row r="25" ht="17" customHeight="1">
      <c r="B25" s="34" t="inlineStr">
        <is>
          <t xml:space="preserve">  YoY Growth</t>
        </is>
      </c>
      <c r="C25" s="44" t="n">
        <v>0.423</v>
      </c>
      <c r="D25" s="44" t="n">
        <v>0.524</v>
      </c>
      <c r="E25" s="44" t="n">
        <v>0.347</v>
      </c>
      <c r="F25" s="44" t="n">
        <v>0.269</v>
      </c>
      <c r="G25" s="44" t="n">
        <v>0.17</v>
      </c>
    </row>
    <row r="26" ht="17" customHeight="1">
      <c r="B26" s="49" t="inlineStr">
        <is>
          <t>Adj. EBITDA</t>
        </is>
      </c>
      <c r="C26" s="46" t="n">
        <v>12724</v>
      </c>
      <c r="D26" s="46" t="n">
        <v>23771</v>
      </c>
      <c r="E26" s="46" t="n">
        <v>34866</v>
      </c>
      <c r="F26" s="46" t="n">
        <v>44270</v>
      </c>
      <c r="G26" s="46" t="n">
        <v>52500</v>
      </c>
      <c r="H26" s="47" t="n"/>
    </row>
    <row r="27" ht="17" customHeight="1">
      <c r="B27" s="34" t="inlineStr">
        <is>
          <t xml:space="preserve">  EBITDA Margin</t>
        </is>
      </c>
      <c r="C27" s="44" t="n">
        <v>0.258</v>
      </c>
      <c r="D27" s="44" t="n">
        <v>0.317</v>
      </c>
      <c r="E27" s="44" t="n">
        <v>0.345</v>
      </c>
      <c r="F27" s="44" t="n">
        <v>0.345</v>
      </c>
      <c r="G27" s="44" t="n">
        <v>0.35</v>
      </c>
    </row>
    <row r="28" ht="17" customHeight="1">
      <c r="B28" s="43" t="inlineStr">
        <is>
          <t>D&amp;A (incl. PPA amort.)</t>
        </is>
      </c>
      <c r="C28" s="35" t="n">
        <v>5172</v>
      </c>
      <c r="D28" s="35" t="n">
        <v>7880</v>
      </c>
      <c r="E28" s="35" t="n">
        <v>10620</v>
      </c>
      <c r="F28" s="35" t="n">
        <v>12830</v>
      </c>
      <c r="G28" s="35" t="n">
        <v>15000</v>
      </c>
    </row>
    <row r="29" ht="17" customHeight="1">
      <c r="B29" s="34" t="inlineStr">
        <is>
          <t xml:space="preserve">  EBIT (Adj.)</t>
        </is>
      </c>
      <c r="C29" s="35" t="n">
        <v>7552</v>
      </c>
      <c r="D29" s="35" t="n">
        <v>15891</v>
      </c>
      <c r="E29" s="35" t="n">
        <v>24246</v>
      </c>
      <c r="F29" s="35" t="n">
        <v>31440</v>
      </c>
      <c r="G29" s="35" t="n">
        <v>37500</v>
      </c>
    </row>
    <row r="30" ht="17" customHeight="1">
      <c r="B30" s="43" t="inlineStr">
        <is>
          <t>Taxes on EBIT (at 26.7%)</t>
        </is>
      </c>
      <c r="C30" s="35" t="n">
        <v>2016</v>
      </c>
      <c r="D30" s="35" t="n">
        <v>4243</v>
      </c>
      <c r="E30" s="35" t="n">
        <v>6474</v>
      </c>
      <c r="F30" s="35" t="n">
        <v>8394</v>
      </c>
      <c r="G30" s="35" t="n">
        <v>10013</v>
      </c>
    </row>
    <row r="31" ht="17" customHeight="1">
      <c r="B31" s="49" t="inlineStr">
        <is>
          <t>NOPAT (Net Op. Profit After Tax)</t>
        </is>
      </c>
      <c r="C31" s="46" t="n">
        <v>5536</v>
      </c>
      <c r="D31" s="46" t="n">
        <v>11648</v>
      </c>
      <c r="E31" s="46" t="n">
        <v>17772</v>
      </c>
      <c r="F31" s="46" t="n">
        <v>23046</v>
      </c>
      <c r="G31" s="46" t="n">
        <v>27488</v>
      </c>
      <c r="H31" s="47" t="n"/>
    </row>
    <row r="32" ht="17" customHeight="1">
      <c r="B32" s="43" t="inlineStr">
        <is>
          <t>+ D&amp;A</t>
        </is>
      </c>
      <c r="C32" s="35" t="n">
        <v>5172</v>
      </c>
      <c r="D32" s="35" t="n">
        <v>7880</v>
      </c>
      <c r="E32" s="35" t="n">
        <v>10620</v>
      </c>
      <c r="F32" s="35" t="n">
        <v>12830</v>
      </c>
      <c r="G32" s="35" t="n">
        <v>15000</v>
      </c>
    </row>
    <row r="33" ht="17" customHeight="1">
      <c r="B33" s="43" t="inlineStr">
        <is>
          <t>- CapEx</t>
        </is>
      </c>
      <c r="C33" s="35" t="n">
        <v>-1972</v>
      </c>
      <c r="D33" s="35" t="n">
        <v>-3004</v>
      </c>
      <c r="E33" s="35" t="n">
        <v>-4046</v>
      </c>
      <c r="F33" s="35" t="n">
        <v>-5132</v>
      </c>
      <c r="G33" s="35" t="n">
        <v>-6000</v>
      </c>
    </row>
    <row r="34" ht="17" customHeight="1">
      <c r="B34" s="43" t="inlineStr">
        <is>
          <t>- Change in Working Capital</t>
        </is>
      </c>
      <c r="C34" s="35" t="n">
        <v>-1969</v>
      </c>
      <c r="D34" s="35" t="n">
        <v>-4506</v>
      </c>
      <c r="E34" s="35" t="n">
        <v>-7081</v>
      </c>
      <c r="F34" s="35" t="n">
        <v>-6415</v>
      </c>
      <c r="G34" s="35" t="n">
        <v>-4500</v>
      </c>
    </row>
    <row r="35" ht="17" customHeight="1">
      <c r="B35" s="49">
        <f> Unlevered FCF (UFCF)</f>
        <v/>
      </c>
      <c r="C35" s="46" t="n">
        <v>6767</v>
      </c>
      <c r="D35" s="46" t="n">
        <v>12018</v>
      </c>
      <c r="E35" s="46" t="n">
        <v>17265</v>
      </c>
      <c r="F35" s="46" t="n">
        <v>24329</v>
      </c>
      <c r="G35" s="46" t="n">
        <v>31988</v>
      </c>
      <c r="H35" s="47" t="n"/>
    </row>
    <row r="36" ht="17" customHeight="1">
      <c r="B36" s="43" t="inlineStr">
        <is>
          <t>Discount Factor</t>
        </is>
      </c>
      <c r="C36" s="59">
        <f>1/(1+C14)^1</f>
        <v/>
      </c>
      <c r="D36" s="59">
        <f>1/(1+C14)^2</f>
        <v/>
      </c>
      <c r="E36" s="59">
        <f>1/(1+C14)^3</f>
        <v/>
      </c>
      <c r="F36" s="59">
        <f>1/(1+C14)^4</f>
        <v/>
      </c>
      <c r="G36" s="59">
        <f>1/(1+C14)^5</f>
        <v/>
      </c>
    </row>
    <row r="37" ht="17" customHeight="1">
      <c r="B37" s="52" t="inlineStr">
        <is>
          <t>PV of UFCF</t>
        </is>
      </c>
      <c r="C37" s="9">
        <f>C35*C36</f>
        <v/>
      </c>
      <c r="D37" s="9">
        <f>D35*D36</f>
        <v/>
      </c>
      <c r="E37" s="9">
        <f>E35*E36</f>
        <v/>
      </c>
      <c r="F37" s="9">
        <f>F35*F36</f>
        <v/>
      </c>
      <c r="G37" s="9">
        <f>G35*G36</f>
        <v/>
      </c>
    </row>
    <row r="38"/>
    <row r="39"/>
    <row r="40" ht="17" customHeight="1">
      <c r="B40" s="33" t="inlineStr">
        <is>
          <t>ENTERPRISE VALUE — EQUITY BRIDGE</t>
        </is>
      </c>
    </row>
    <row r="41" ht="17" customHeight="1">
      <c r="B41" s="8" t="inlineStr">
        <is>
          <t>Sum of PV (UFCF Years 1-5)</t>
        </is>
      </c>
      <c r="C41" s="60">
        <f>SUM(C37:G37)</f>
        <v/>
      </c>
    </row>
    <row r="42" ht="17" customHeight="1">
      <c r="B42" s="11" t="inlineStr">
        <is>
          <t>Terminal Value — Perpetuity Growth (FCF × (1+g) / (WACC - g))</t>
        </is>
      </c>
      <c r="C42" s="16">
        <f>G35*(1+C17)/(C14-C17)</f>
        <v/>
      </c>
    </row>
    <row r="43" ht="17" customHeight="1">
      <c r="B43" s="11" t="inlineStr">
        <is>
          <t>Terminal Value — Exit EV/EBITDA Multiple (Cross-Check)</t>
        </is>
      </c>
      <c r="C43" s="16">
        <f>G26*C18</f>
        <v/>
      </c>
    </row>
    <row r="44" ht="17" customHeight="1">
      <c r="B44" s="8" t="inlineStr">
        <is>
          <t>PV of Terminal Value (discounted at WACC × 5 years)</t>
        </is>
      </c>
      <c r="C44" s="60">
        <f>C42/(1+C14)^5</f>
        <v/>
      </c>
    </row>
    <row r="45" ht="17" customHeight="1">
      <c r="B45" s="11" t="inlineStr">
        <is>
          <t xml:space="preserve">  TV as % of Enterprise Value</t>
        </is>
      </c>
      <c r="C45" s="10">
        <f>C44/(C41+C44)</f>
        <v/>
      </c>
    </row>
    <row r="46" ht="17" customHeight="1"/>
    <row r="47" ht="17" customHeight="1">
      <c r="B47" s="8" t="inlineStr">
        <is>
          <t>Enterprise Value (DCF)</t>
        </is>
      </c>
      <c r="C47" s="61">
        <f>C41+C44</f>
        <v/>
      </c>
    </row>
    <row r="48" ht="17" customHeight="1">
      <c r="B48" s="11" t="inlineStr">
        <is>
          <t>+ Cash &amp; Short-term Investments</t>
        </is>
      </c>
      <c r="C48" s="35" t="n">
        <v>5539</v>
      </c>
    </row>
    <row r="49" ht="17" customHeight="1">
      <c r="B49" s="11" t="inlineStr">
        <is>
          <t>- Total Debt (incl. leases)</t>
        </is>
      </c>
      <c r="C49" s="35" t="n">
        <v>-4472</v>
      </c>
    </row>
    <row r="50" ht="17" customHeight="1">
      <c r="B50" s="11" t="inlineStr">
        <is>
          <t>- Minority Interest / Other</t>
        </is>
      </c>
      <c r="C50" s="35" t="n">
        <v>0</v>
      </c>
    </row>
    <row r="51" ht="17" customHeight="1">
      <c r="B51" s="8" t="inlineStr">
        <is>
          <t>Equity Value</t>
        </is>
      </c>
      <c r="C51" s="62">
        <f>C47+C48+C49+C50</f>
        <v/>
      </c>
    </row>
    <row r="52" ht="17" customHeight="1">
      <c r="B52" s="11" t="inlineStr">
        <is>
          <t>Diluted Shares Outstanding (M)</t>
        </is>
      </c>
      <c r="C52" s="50" t="n">
        <v>1633</v>
      </c>
    </row>
    <row r="53" ht="17" customHeight="1">
      <c r="B53" s="8" t="inlineStr">
        <is>
          <t>DCF Implied Share Price</t>
        </is>
      </c>
      <c r="C53" s="63">
        <f>C51/(C52)</f>
        <v/>
      </c>
    </row>
    <row r="54" ht="17" customHeight="1">
      <c r="B54" s="11" t="inlineStr">
        <is>
          <t>Current Price</t>
        </is>
      </c>
      <c r="C54" s="64" t="n">
        <v>445.5</v>
      </c>
    </row>
    <row r="55" ht="17" customHeight="1">
      <c r="B55" s="8" t="inlineStr">
        <is>
          <t>Upside / (Downside) to DCF</t>
        </is>
      </c>
      <c r="C55" s="65">
        <f>(C53-C54)/C54</f>
        <v/>
      </c>
    </row>
    <row r="56"/>
    <row r="57">
      <c r="B57" s="27" t="inlineStr">
        <is>
          <t>Sources: AlphaSpread (WACC 9.54%), GuruFocus (WACC 16.1%), AMD filings. Risk-free rate: US 10Y Treasury ~4.42%. Beta: 5Y weekly regression 1.23x. ERP: Damodaran (4.18-5.18%). Terminal growth: 3.0%. Exit multiple: 25x EV/EBITDA.</t>
        </is>
      </c>
    </row>
  </sheetData>
  <mergeCells count="6">
    <mergeCell ref="B4:F4"/>
    <mergeCell ref="B2:M2"/>
    <mergeCell ref="B16:F16"/>
    <mergeCell ref="B22:I22"/>
    <mergeCell ref="B57:M57"/>
    <mergeCell ref="B40:I4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 outlineLevelCol="0"/>
  <cols>
    <col width="3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/>
    <row r="2" ht="28" customHeight="1">
      <c r="B2" s="28" t="inlineStr">
        <is>
          <t>AMD — SENSITIVITY ANALYSIS</t>
        </is>
      </c>
    </row>
    <row r="3"/>
    <row r="4" ht="20" customHeight="1">
      <c r="B4" s="6" t="inlineStr">
        <is>
          <t>TABLE 1: WACC vs. Terminal Growth Rate — Implied Share Price ($)</t>
        </is>
      </c>
    </row>
    <row r="5" ht="22" customHeight="1">
      <c r="B5" s="7" t="inlineStr">
        <is>
          <t>WACC \ TGR</t>
        </is>
      </c>
      <c r="C5" s="7" t="inlineStr">
        <is>
          <t>2.0%</t>
        </is>
      </c>
      <c r="D5" s="7" t="inlineStr">
        <is>
          <t>2.5%</t>
        </is>
      </c>
      <c r="E5" s="7" t="inlineStr">
        <is>
          <t>3.0%</t>
        </is>
      </c>
      <c r="F5" s="7" t="inlineStr">
        <is>
          <t>3.5%</t>
        </is>
      </c>
      <c r="G5" s="7" t="inlineStr">
        <is>
          <t>4.0%</t>
        </is>
      </c>
    </row>
    <row r="6" ht="18" customHeight="1">
      <c r="B6" s="66" t="inlineStr">
        <is>
          <t>8.0%</t>
        </is>
      </c>
      <c r="C6" s="67" t="n">
        <v>270</v>
      </c>
      <c r="D6" s="67" t="n">
        <v>292</v>
      </c>
      <c r="E6" s="67" t="n">
        <v>318</v>
      </c>
      <c r="F6" s="68" t="n">
        <v>350</v>
      </c>
      <c r="G6" s="68" t="n">
        <v>390</v>
      </c>
    </row>
    <row r="7" ht="18" customHeight="1">
      <c r="B7" s="66" t="inlineStr">
        <is>
          <t>9.0%</t>
        </is>
      </c>
      <c r="C7" s="67" t="n">
        <v>228</v>
      </c>
      <c r="D7" s="67" t="n">
        <v>243</v>
      </c>
      <c r="E7" s="67" t="n">
        <v>261</v>
      </c>
      <c r="F7" s="67" t="n">
        <v>282</v>
      </c>
      <c r="G7" s="67" t="n">
        <v>307</v>
      </c>
    </row>
    <row r="8" ht="18" customHeight="1">
      <c r="B8" s="66" t="inlineStr">
        <is>
          <t>9.5%</t>
        </is>
      </c>
      <c r="C8" s="67" t="n">
        <v>211</v>
      </c>
      <c r="D8" s="67" t="n">
        <v>224</v>
      </c>
      <c r="E8" s="69" t="n">
        <v>239</v>
      </c>
      <c r="F8" s="67" t="n">
        <v>256</v>
      </c>
      <c r="G8" s="67" t="n">
        <v>277</v>
      </c>
    </row>
    <row r="9" ht="18" customHeight="1">
      <c r="B9" s="66" t="inlineStr">
        <is>
          <t>10.0%</t>
        </is>
      </c>
      <c r="C9" s="67" t="n">
        <v>196</v>
      </c>
      <c r="D9" s="67" t="n">
        <v>207</v>
      </c>
      <c r="E9" s="67" t="n">
        <v>220</v>
      </c>
      <c r="F9" s="67" t="n">
        <v>234</v>
      </c>
      <c r="G9" s="67" t="n">
        <v>252</v>
      </c>
    </row>
    <row r="10" ht="18" customHeight="1">
      <c r="B10" s="66" t="inlineStr">
        <is>
          <t>11.0%</t>
        </is>
      </c>
      <c r="C10" s="67" t="n">
        <v>171</v>
      </c>
      <c r="D10" s="67" t="n">
        <v>180</v>
      </c>
      <c r="E10" s="67" t="n">
        <v>189</v>
      </c>
      <c r="F10" s="67" t="n">
        <v>200</v>
      </c>
      <c r="G10" s="67" t="n">
        <v>212</v>
      </c>
    </row>
    <row r="11" ht="18" customHeight="1">
      <c r="B11" s="66" t="inlineStr">
        <is>
          <t>12.0%</t>
        </is>
      </c>
      <c r="C11" s="67" t="n">
        <v>152</v>
      </c>
      <c r="D11" s="67" t="n">
        <v>158</v>
      </c>
      <c r="E11" s="67" t="n">
        <v>166</v>
      </c>
      <c r="F11" s="67" t="n">
        <v>174</v>
      </c>
      <c r="G11" s="67" t="n">
        <v>183</v>
      </c>
    </row>
    <row r="12"/>
    <row r="13">
      <c r="B13" s="70" t="inlineStr">
        <is>
          <t>★ Gold = Base Case (WACC 9.5%, TGR 3.0%)  |  Green = near price target  |  Blue = above $560  |  Red = below $350</t>
        </is>
      </c>
    </row>
    <row r="14"/>
    <row r="15"/>
    <row r="16" ht="20" customHeight="1">
      <c r="B16" s="6" t="inlineStr">
        <is>
          <t>TABLE 2: BULL / BASE / BEAR SCENARIO COMPARISON</t>
        </is>
      </c>
    </row>
    <row r="17">
      <c r="B17" s="7" t="inlineStr">
        <is>
          <t>Metric</t>
        </is>
      </c>
      <c r="C17" s="7" t="inlineStr"/>
      <c r="D17" s="7" t="inlineStr"/>
      <c r="E17" s="7" t="inlineStr"/>
      <c r="F17" s="7" t="inlineStr"/>
      <c r="G17" s="7" t="inlineStr">
        <is>
          <t>Bear Case</t>
        </is>
      </c>
      <c r="H17" s="7" t="inlineStr"/>
      <c r="I17" s="7" t="inlineStr"/>
      <c r="J17" s="7" t="inlineStr"/>
      <c r="K17" s="7" t="inlineStr">
        <is>
          <t>Base Case</t>
        </is>
      </c>
      <c r="L17" s="7" t="inlineStr"/>
      <c r="M17" s="7" t="inlineStr"/>
      <c r="N17" s="7" t="inlineStr"/>
      <c r="O17" s="7" t="inlineStr">
        <is>
          <t>Bull Case</t>
        </is>
      </c>
      <c r="P17" s="7" t="inlineStr"/>
      <c r="Q17" s="7" t="inlineStr"/>
      <c r="R17" s="7" t="inlineStr"/>
    </row>
    <row r="18" ht="18" customHeight="1">
      <c r="C18" s="66" t="inlineStr">
        <is>
          <t>FY2026E</t>
        </is>
      </c>
      <c r="D18" s="66" t="inlineStr">
        <is>
          <t>FY2027E</t>
        </is>
      </c>
      <c r="E18" s="66" t="inlineStr">
        <is>
          <t>FY2028E</t>
        </is>
      </c>
      <c r="F18" s="66" t="inlineStr">
        <is>
          <t>Impl. PT</t>
        </is>
      </c>
      <c r="G18" s="71" t="inlineStr">
        <is>
          <t>FY2026E</t>
        </is>
      </c>
      <c r="H18" s="71" t="inlineStr">
        <is>
          <t>FY2027E</t>
        </is>
      </c>
      <c r="I18" s="71" t="inlineStr">
        <is>
          <t>FY2028E</t>
        </is>
      </c>
      <c r="J18" s="71" t="inlineStr">
        <is>
          <t>Impl. PT</t>
        </is>
      </c>
      <c r="K18" s="72" t="inlineStr">
        <is>
          <t>FY2026E</t>
        </is>
      </c>
      <c r="L18" s="72" t="inlineStr">
        <is>
          <t>FY2027E</t>
        </is>
      </c>
      <c r="M18" s="72" t="inlineStr">
        <is>
          <t>FY2028E</t>
        </is>
      </c>
      <c r="N18" s="72" t="inlineStr">
        <is>
          <t>Impl. PT</t>
        </is>
      </c>
      <c r="O18" s="73" t="inlineStr">
        <is>
          <t>FY2026E</t>
        </is>
      </c>
      <c r="P18" s="73" t="inlineStr">
        <is>
          <t>FY2027E</t>
        </is>
      </c>
      <c r="Q18" s="73" t="inlineStr">
        <is>
          <t>FY2028E</t>
        </is>
      </c>
      <c r="R18" s="73" t="inlineStr">
        <is>
          <t>Impl. PT</t>
        </is>
      </c>
    </row>
    <row r="19" ht="18" customHeight="1">
      <c r="B19" s="52" t="inlineStr">
        <is>
          <t>Revenue ($M)</t>
        </is>
      </c>
      <c r="C19" s="16" t="n">
        <v>34639</v>
      </c>
      <c r="G19" s="41" t="n">
        <v>40000</v>
      </c>
      <c r="H19" s="41" t="n">
        <v>55900</v>
      </c>
      <c r="I19" s="41" t="n">
        <v>73900</v>
      </c>
      <c r="K19" s="9" t="n">
        <v>49292</v>
      </c>
      <c r="L19" s="9" t="n">
        <v>75102</v>
      </c>
      <c r="M19" s="9" t="n">
        <v>101147</v>
      </c>
      <c r="O19" s="39" t="n">
        <v>56400</v>
      </c>
      <c r="P19" s="39" t="n">
        <v>97900</v>
      </c>
      <c r="Q19" s="39" t="n">
        <v>133700</v>
      </c>
    </row>
    <row r="20" ht="18" customHeight="1">
      <c r="B20" s="43" t="inlineStr">
        <is>
          <t>YoY Growth</t>
        </is>
      </c>
      <c r="C20" s="10" t="n">
        <v>0.344</v>
      </c>
      <c r="G20" s="42" t="n">
        <v>0.154</v>
      </c>
      <c r="H20" s="42" t="n">
        <v>0.398</v>
      </c>
      <c r="I20" s="42" t="n">
        <v>0.323</v>
      </c>
      <c r="K20" s="17" t="n">
        <v>0.423</v>
      </c>
      <c r="L20" s="17" t="n">
        <v>0.524</v>
      </c>
      <c r="M20" s="17" t="n">
        <v>0.347</v>
      </c>
      <c r="O20" s="40" t="n">
        <v>0.628</v>
      </c>
      <c r="P20" s="40" t="n">
        <v>0.736</v>
      </c>
      <c r="Q20" s="40" t="n">
        <v>0.367</v>
      </c>
    </row>
    <row r="21" ht="18" customHeight="1">
      <c r="B21" s="52" t="inlineStr">
        <is>
          <t>Adj. EBITDA ($M)</t>
        </is>
      </c>
      <c r="C21" s="16" t="n">
        <v>8521</v>
      </c>
      <c r="G21" s="41" t="n">
        <v>9200</v>
      </c>
      <c r="H21" s="41" t="n">
        <v>16000</v>
      </c>
      <c r="I21" s="41" t="n">
        <v>22000</v>
      </c>
      <c r="K21" s="9" t="n">
        <v>12724</v>
      </c>
      <c r="L21" s="9" t="n">
        <v>23771</v>
      </c>
      <c r="M21" s="9" t="n">
        <v>34866</v>
      </c>
      <c r="O21" s="39" t="n">
        <v>14768</v>
      </c>
      <c r="P21" s="39" t="n">
        <v>30869</v>
      </c>
      <c r="Q21" s="39" t="n">
        <v>46847</v>
      </c>
    </row>
    <row r="22" ht="18" customHeight="1">
      <c r="B22" s="43" t="inlineStr">
        <is>
          <t>Adj. EBITDA Margin</t>
        </is>
      </c>
      <c r="C22" s="10" t="n">
        <v>0.246</v>
      </c>
      <c r="G22" s="42" t="n">
        <v>0.23</v>
      </c>
      <c r="H22" s="42" t="n">
        <v>0.286</v>
      </c>
      <c r="I22" s="42" t="n">
        <v>0.298</v>
      </c>
      <c r="K22" s="17" t="n">
        <v>0.258</v>
      </c>
      <c r="L22" s="17" t="n">
        <v>0.317</v>
      </c>
      <c r="M22" s="17" t="n">
        <v>0.345</v>
      </c>
      <c r="O22" s="40" t="n">
        <v>0.262</v>
      </c>
      <c r="P22" s="40" t="n">
        <v>0.315</v>
      </c>
      <c r="Q22" s="40" t="n">
        <v>0.35</v>
      </c>
    </row>
    <row r="23" ht="18" customHeight="1">
      <c r="B23" s="52" t="inlineStr">
        <is>
          <t>Adj. EPS</t>
        </is>
      </c>
      <c r="C23" s="74" t="n">
        <v>4.17</v>
      </c>
      <c r="G23" s="75" t="n">
        <v>5.5</v>
      </c>
      <c r="H23" s="75" t="n">
        <v>10</v>
      </c>
      <c r="I23" s="75" t="n">
        <v>15</v>
      </c>
      <c r="K23" s="15" t="n">
        <v>9.56</v>
      </c>
      <c r="L23" s="15" t="n">
        <v>15.45</v>
      </c>
      <c r="M23" s="15" t="n">
        <v>21.09</v>
      </c>
      <c r="O23" s="76" t="n">
        <v>11</v>
      </c>
      <c r="P23" s="76" t="n">
        <v>19</v>
      </c>
      <c r="Q23" s="76" t="n">
        <v>29</v>
      </c>
    </row>
    <row r="24" ht="18" customHeight="1">
      <c r="B24" s="43" t="inlineStr">
        <is>
          <t>FCF ($M)</t>
        </is>
      </c>
      <c r="C24" s="16" t="n">
        <v>6735</v>
      </c>
      <c r="G24" s="41" t="n">
        <v>6400</v>
      </c>
      <c r="H24" s="41" t="n">
        <v>11000</v>
      </c>
      <c r="I24" s="41" t="n">
        <v>16000</v>
      </c>
      <c r="K24" s="9" t="n">
        <v>13049</v>
      </c>
      <c r="L24" s="9" t="n">
        <v>20354</v>
      </c>
      <c r="M24" s="9" t="n">
        <v>27057</v>
      </c>
      <c r="O24" s="39" t="n">
        <v>16000</v>
      </c>
      <c r="P24" s="39" t="n">
        <v>26000</v>
      </c>
      <c r="Q24" s="39" t="n">
        <v>38000</v>
      </c>
    </row>
    <row r="25" ht="18" customHeight="1">
      <c r="B25" s="43" t="inlineStr">
        <is>
          <t>FCF Margin</t>
        </is>
      </c>
      <c r="C25" s="10" t="n">
        <v>0.194</v>
      </c>
      <c r="G25" s="42" t="n">
        <v>0.16</v>
      </c>
      <c r="H25" s="42" t="n">
        <v>0.197</v>
      </c>
      <c r="I25" s="42" t="n">
        <v>0.217</v>
      </c>
      <c r="K25" s="17" t="n">
        <v>0.265</v>
      </c>
      <c r="L25" s="17" t="n">
        <v>0.271</v>
      </c>
      <c r="M25" s="17" t="n">
        <v>0.268</v>
      </c>
      <c r="O25" s="40" t="n">
        <v>0.284</v>
      </c>
      <c r="P25" s="40" t="n">
        <v>0.266</v>
      </c>
      <c r="Q25" s="40" t="n">
        <v>0.284</v>
      </c>
    </row>
    <row r="26" ht="18" customHeight="1">
      <c r="B26" s="52" t="inlineStr">
        <is>
          <t>Implied Price Target</t>
        </is>
      </c>
      <c r="J26" s="75" t="n">
        <v>280</v>
      </c>
      <c r="N26" s="15" t="n">
        <v>540</v>
      </c>
      <c r="R26" s="76" t="n">
        <v>740</v>
      </c>
    </row>
    <row r="27" ht="18" customHeight="1">
      <c r="B27" s="43" t="inlineStr">
        <is>
          <t>Upside / (Downside)</t>
        </is>
      </c>
      <c r="J27" s="42" t="n">
        <v>-0.372</v>
      </c>
      <c r="N27" s="17" t="n">
        <v>0.212</v>
      </c>
      <c r="R27" s="40" t="n">
        <v>0.661</v>
      </c>
    </row>
    <row r="28"/>
    <row r="29"/>
    <row r="30" ht="20" customHeight="1">
      <c r="B30" s="6" t="inlineStr">
        <is>
          <t>TABLE 3: FY2027E Revenue Growth vs. EBITDA Margin — Implied EV/EBITDA Implied Value ($B EV)</t>
        </is>
      </c>
    </row>
    <row r="31" ht="22" customHeight="1">
      <c r="B31" s="7" t="inlineStr">
        <is>
          <t>Rev Growth \ EBITDA Margin</t>
        </is>
      </c>
      <c r="C31" s="7" t="inlineStr">
        <is>
          <t>25%</t>
        </is>
      </c>
      <c r="D31" s="7" t="inlineStr">
        <is>
          <t>28%</t>
        </is>
      </c>
      <c r="E31" s="7" t="inlineStr">
        <is>
          <t>32%</t>
        </is>
      </c>
      <c r="F31" s="7" t="inlineStr">
        <is>
          <t>35%</t>
        </is>
      </c>
      <c r="G31" s="7" t="inlineStr">
        <is>
          <t>38%</t>
        </is>
      </c>
    </row>
    <row r="32" ht="18" customHeight="1">
      <c r="B32" s="66" t="inlineStr">
        <is>
          <t>35%</t>
        </is>
      </c>
      <c r="C32" s="77" t="n">
        <v>416</v>
      </c>
      <c r="D32" s="77" t="n">
        <v>466</v>
      </c>
      <c r="E32" s="78" t="n">
        <v>532</v>
      </c>
      <c r="F32" s="78" t="n">
        <v>582</v>
      </c>
      <c r="G32" s="78" t="n">
        <v>632</v>
      </c>
    </row>
    <row r="33" ht="18" customHeight="1">
      <c r="B33" s="66" t="inlineStr">
        <is>
          <t>45%</t>
        </is>
      </c>
      <c r="C33" s="77" t="n">
        <v>447</v>
      </c>
      <c r="D33" s="78" t="n">
        <v>500</v>
      </c>
      <c r="E33" s="78" t="n">
        <v>572</v>
      </c>
      <c r="F33" s="78" t="n">
        <v>625</v>
      </c>
      <c r="G33" s="78" t="n">
        <v>679</v>
      </c>
    </row>
    <row r="34" ht="18" customHeight="1">
      <c r="B34" s="66" t="inlineStr">
        <is>
          <t>52%</t>
        </is>
      </c>
      <c r="C34" s="77" t="n">
        <v>468</v>
      </c>
      <c r="D34" s="78" t="n">
        <v>524</v>
      </c>
      <c r="E34" s="78" t="n">
        <v>599</v>
      </c>
      <c r="F34" s="78" t="n">
        <v>656</v>
      </c>
      <c r="G34" s="79" t="n">
        <v>712</v>
      </c>
    </row>
    <row r="35" ht="18" customHeight="1">
      <c r="B35" s="66" t="inlineStr">
        <is>
          <t>60%</t>
        </is>
      </c>
      <c r="C35" s="77" t="n">
        <v>493</v>
      </c>
      <c r="D35" s="78" t="n">
        <v>552</v>
      </c>
      <c r="E35" s="78" t="n">
        <v>631</v>
      </c>
      <c r="F35" s="78" t="n">
        <v>690</v>
      </c>
      <c r="G35" s="79" t="n">
        <v>749</v>
      </c>
    </row>
    <row r="36" ht="18" customHeight="1">
      <c r="B36" s="66" t="inlineStr">
        <is>
          <t>70%</t>
        </is>
      </c>
      <c r="C36" s="78" t="n">
        <v>524</v>
      </c>
      <c r="D36" s="78" t="n">
        <v>587</v>
      </c>
      <c r="E36" s="78" t="n">
        <v>670</v>
      </c>
      <c r="F36" s="79" t="n">
        <v>733</v>
      </c>
      <c r="G36" s="79" t="n">
        <v>796</v>
      </c>
    </row>
  </sheetData>
  <mergeCells count="5">
    <mergeCell ref="B16:M16"/>
    <mergeCell ref="B2:O2"/>
    <mergeCell ref="B30:K30"/>
    <mergeCell ref="B4:J4"/>
    <mergeCell ref="B13:J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 outlineLevelCol="0"/>
  <cols>
    <col width="3" customWidth="1" min="1" max="1"/>
    <col width="30" customWidth="1" min="2" max="2"/>
    <col width="14" customWidth="1" min="3" max="3"/>
    <col width="2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/>
    <row r="2" ht="28" customHeight="1">
      <c r="B2" s="28" t="inlineStr">
        <is>
          <t>AMD — COMPARABLE COMPANIES ANALYSIS  |  As of May 2026</t>
        </is>
      </c>
    </row>
    <row r="3"/>
    <row r="4" ht="30" customHeight="1">
      <c r="B4" s="7" t="inlineStr">
        <is>
          <t>Company</t>
        </is>
      </c>
      <c r="C4" s="7" t="inlineStr">
        <is>
          <t>Ticker</t>
        </is>
      </c>
      <c r="D4" s="7" t="inlineStr">
        <is>
          <t>Model</t>
        </is>
      </c>
      <c r="E4" s="7" t="inlineStr">
        <is>
          <t>Market Cap ($B)</t>
        </is>
      </c>
      <c r="F4" s="7" t="inlineStr">
        <is>
          <t>Price</t>
        </is>
      </c>
      <c r="G4" s="7" t="inlineStr">
        <is>
          <t>P/E (TTM)</t>
        </is>
      </c>
      <c r="H4" s="7" t="inlineStr">
        <is>
          <t>EV/EBITDA (TTM)</t>
        </is>
      </c>
      <c r="I4" s="7" t="inlineStr">
        <is>
          <t>Rev Growth (FY)</t>
        </is>
      </c>
      <c r="J4" s="7" t="inlineStr">
        <is>
          <t>Gross Margin</t>
        </is>
      </c>
      <c r="K4" s="7" t="inlineStr">
        <is>
          <t>Net Margin</t>
        </is>
      </c>
      <c r="L4" s="7" t="inlineStr">
        <is>
          <t>FY Revenue ($B)</t>
        </is>
      </c>
    </row>
    <row r="5" ht="18" customHeight="1">
      <c r="B5" s="80" t="inlineStr">
        <is>
          <t>NVIDIA</t>
        </is>
      </c>
      <c r="C5" s="81" t="inlineStr">
        <is>
          <t>NVDA</t>
        </is>
      </c>
      <c r="D5" s="82" t="inlineStr">
        <is>
          <t>Fabless GPU/AI</t>
        </is>
      </c>
      <c r="E5" s="83" t="n">
        <v>3508</v>
      </c>
      <c r="F5" s="84" t="n">
        <v>143.67</v>
      </c>
      <c r="G5" s="85" t="n">
        <v>40.9</v>
      </c>
      <c r="H5" s="85" t="n">
        <v>37.1</v>
      </c>
      <c r="I5" s="86" t="n">
        <v>1.22</v>
      </c>
      <c r="J5" s="86" t="n">
        <v>0.71</v>
      </c>
      <c r="K5" s="86" t="n">
        <v>0.5600000000000001</v>
      </c>
      <c r="L5" s="87" t="n">
        <v>215.9</v>
      </c>
    </row>
    <row r="6" ht="18" customHeight="1">
      <c r="B6" s="88" t="inlineStr">
        <is>
          <t>Broadcom</t>
        </is>
      </c>
      <c r="C6" s="89" t="inlineStr">
        <is>
          <t>AVGO</t>
        </is>
      </c>
      <c r="D6" s="90" t="inlineStr">
        <is>
          <t>Fabless ASIC/Net</t>
        </is>
      </c>
      <c r="E6" s="91" t="n">
        <v>1034</v>
      </c>
      <c r="F6" s="15" t="n">
        <v>220.77</v>
      </c>
      <c r="G6" s="92" t="n">
        <v>81.3</v>
      </c>
      <c r="H6" s="92" t="n">
        <v>52</v>
      </c>
      <c r="I6" s="17" t="n">
        <v>0.22</v>
      </c>
      <c r="J6" s="17" t="n">
        <v>0.68</v>
      </c>
      <c r="K6" s="17" t="n">
        <v>0.36</v>
      </c>
      <c r="L6" s="93" t="n">
        <v>63.9</v>
      </c>
    </row>
    <row r="7" ht="18" customHeight="1">
      <c r="B7" s="94" t="inlineStr">
        <is>
          <t>AMD</t>
        </is>
      </c>
      <c r="C7" s="95" t="inlineStr">
        <is>
          <t>AMD</t>
        </is>
      </c>
      <c r="D7" s="96" t="inlineStr">
        <is>
          <t>Fabless CPU/GPU</t>
        </is>
      </c>
      <c r="E7" s="97" t="n">
        <v>726</v>
      </c>
      <c r="F7" s="98" t="n">
        <v>445.5</v>
      </c>
      <c r="G7" s="99" t="n">
        <v>149.2</v>
      </c>
      <c r="H7" s="99" t="n">
        <v>101</v>
      </c>
      <c r="I7" s="100" t="n">
        <v>0.344</v>
      </c>
      <c r="J7" s="100" t="n">
        <v>0.495</v>
      </c>
      <c r="K7" s="100" t="n">
        <v>0.125</v>
      </c>
      <c r="L7" s="101" t="n">
        <v>34.6</v>
      </c>
    </row>
    <row r="8" ht="18" customHeight="1">
      <c r="B8" s="102" t="inlineStr">
        <is>
          <t>Qualcomm</t>
        </is>
      </c>
      <c r="C8" s="103" t="inlineStr">
        <is>
          <t>QCOM</t>
        </is>
      </c>
      <c r="D8" s="104" t="inlineStr">
        <is>
          <t>Fabless Mobile SoC</t>
        </is>
      </c>
      <c r="E8" s="105" t="n">
        <v>167</v>
      </c>
      <c r="F8" s="106" t="n">
        <v>150.37</v>
      </c>
      <c r="G8" s="107" t="n">
        <v>22.7</v>
      </c>
      <c r="H8" s="107" t="n">
        <v>17.6</v>
      </c>
      <c r="I8" s="108" t="n">
        <v>0.14</v>
      </c>
      <c r="J8" s="108" t="n">
        <v>0.55</v>
      </c>
      <c r="K8" s="108" t="n">
        <v>0.13</v>
      </c>
      <c r="L8" s="109" t="n">
        <v>44.3</v>
      </c>
    </row>
    <row r="9" ht="18" customHeight="1">
      <c r="B9" s="110" t="inlineStr">
        <is>
          <t>Micron</t>
        </is>
      </c>
      <c r="C9" s="111" t="inlineStr">
        <is>
          <t>MU</t>
        </is>
      </c>
      <c r="D9" s="112" t="inlineStr">
        <is>
          <t>IDM Memory</t>
        </is>
      </c>
      <c r="E9" s="113" t="n">
        <v>96</v>
      </c>
      <c r="F9" s="75" t="n">
        <v>87.68000000000001</v>
      </c>
      <c r="G9" s="114" t="n">
        <v>37.6</v>
      </c>
      <c r="H9" s="114" t="n">
        <v>24.4</v>
      </c>
      <c r="I9" s="42" t="n">
        <v>0.618</v>
      </c>
      <c r="J9" s="42" t="n">
        <v>0.4</v>
      </c>
      <c r="K9" s="42" t="n">
        <v>0.23</v>
      </c>
      <c r="L9" s="115" t="n">
        <v>37.4</v>
      </c>
    </row>
    <row r="10" ht="18" customHeight="1">
      <c r="B10" s="116" t="inlineStr">
        <is>
          <t>Intel</t>
        </is>
      </c>
      <c r="C10" s="117" t="inlineStr">
        <is>
          <t>INTC</t>
        </is>
      </c>
      <c r="D10" s="118" t="inlineStr">
        <is>
          <t>IDM/Foundry</t>
        </is>
      </c>
      <c r="E10" s="119" t="n">
        <v>607</v>
      </c>
      <c r="F10" s="120" t="n">
        <v>120.29</v>
      </c>
      <c r="G10" s="121" t="inlineStr">
        <is>
          <t>N/M</t>
        </is>
      </c>
      <c r="H10" s="122" t="n">
        <v>55.5</v>
      </c>
      <c r="I10" s="123" t="n">
        <v>-0.021</v>
      </c>
      <c r="J10" s="123" t="n">
        <v>0.35</v>
      </c>
      <c r="K10" s="123" t="n">
        <v>-0.004</v>
      </c>
      <c r="L10" s="124" t="n">
        <v>52.9</v>
      </c>
    </row>
    <row r="11" ht="18" customHeight="1">
      <c r="B11" s="125" t="inlineStr">
        <is>
          <t>Arm Holdings</t>
        </is>
      </c>
      <c r="C11" s="126" t="inlineStr">
        <is>
          <t>ARM</t>
        </is>
      </c>
      <c r="D11" s="127" t="inlineStr">
        <is>
          <t>IP Licensing</t>
        </is>
      </c>
      <c r="E11" s="128" t="n">
        <v>235</v>
      </c>
      <c r="F11" s="129" t="n">
        <v>221.21</v>
      </c>
      <c r="G11" s="130" t="n">
        <v>260.4</v>
      </c>
      <c r="H11" s="130" t="n">
        <v>170.7</v>
      </c>
      <c r="I11" s="131" t="n">
        <v>0.25</v>
      </c>
      <c r="J11" s="131" t="n">
        <v>0.96</v>
      </c>
      <c r="K11" s="131" t="n">
        <v>0.28</v>
      </c>
      <c r="L11" s="132" t="n">
        <v>4</v>
      </c>
    </row>
    <row r="12"/>
    <row r="13">
      <c r="B13" s="33" t="inlineStr">
        <is>
          <t xml:space="preserve">  PEER SUMMARY STATISTICS (excl. AMD, excl. Intel loss period)</t>
        </is>
      </c>
    </row>
    <row r="14">
      <c r="B14" s="7" t="inlineStr">
        <is>
          <t>Statistic</t>
        </is>
      </c>
      <c r="C14" s="7" t="inlineStr">
        <is>
          <t>P/E (TTM)</t>
        </is>
      </c>
      <c r="D14" s="7" t="inlineStr">
        <is>
          <t>EV/EBITDA (TTM)</t>
        </is>
      </c>
      <c r="E14" s="7" t="inlineStr">
        <is>
          <t>Gross Margin</t>
        </is>
      </c>
      <c r="F14" s="7" t="inlineStr">
        <is>
          <t>Net Margin</t>
        </is>
      </c>
    </row>
    <row r="15" ht="18" customHeight="1">
      <c r="B15" s="11" t="inlineStr">
        <is>
          <t>Mean (ex-ARM outlier)</t>
        </is>
      </c>
      <c r="C15" s="53" t="n">
        <v>45.6</v>
      </c>
      <c r="D15" s="53" t="n">
        <v>32.8</v>
      </c>
      <c r="E15" s="133" t="inlineStr">
        <is>
          <t>N/A</t>
        </is>
      </c>
      <c r="F15" s="133" t="inlineStr">
        <is>
          <t>N/A</t>
        </is>
      </c>
    </row>
    <row r="16" ht="18" customHeight="1">
      <c r="B16" s="11" t="inlineStr">
        <is>
          <t>Median</t>
        </is>
      </c>
      <c r="C16" s="53" t="n">
        <v>40.9</v>
      </c>
      <c r="D16" s="53" t="n">
        <v>37.1</v>
      </c>
      <c r="E16" s="133" t="inlineStr">
        <is>
          <t>N/A</t>
        </is>
      </c>
      <c r="F16" s="133" t="inlineStr">
        <is>
          <t>N/A</t>
        </is>
      </c>
    </row>
    <row r="17" ht="18" customHeight="1">
      <c r="B17" s="11" t="inlineStr">
        <is>
          <t>25th Percentile</t>
        </is>
      </c>
      <c r="C17" s="53" t="n">
        <v>37.6</v>
      </c>
      <c r="D17" s="53" t="n">
        <v>24.4</v>
      </c>
      <c r="E17" s="133" t="inlineStr">
        <is>
          <t>N/A</t>
        </is>
      </c>
      <c r="F17" s="133" t="inlineStr">
        <is>
          <t>N/A</t>
        </is>
      </c>
    </row>
    <row r="18" ht="18" customHeight="1">
      <c r="B18" s="11" t="inlineStr">
        <is>
          <t>75th Percentile</t>
        </is>
      </c>
      <c r="C18" s="53" t="n">
        <v>81.3</v>
      </c>
      <c r="D18" s="53" t="n">
        <v>52</v>
      </c>
      <c r="E18" s="133" t="inlineStr">
        <is>
          <t>N/A</t>
        </is>
      </c>
      <c r="F18" s="133" t="inlineStr">
        <is>
          <t>N/A</t>
        </is>
      </c>
    </row>
    <row r="19" ht="18" customHeight="1">
      <c r="B19" s="8" t="inlineStr">
        <is>
          <t>AMD (for reference)</t>
        </is>
      </c>
      <c r="C19" s="99" t="n">
        <v>149.2</v>
      </c>
      <c r="D19" s="99" t="n">
        <v>101</v>
      </c>
      <c r="E19" s="100" t="n">
        <v>0.495</v>
      </c>
      <c r="F19" s="100" t="n">
        <v>0.125</v>
      </c>
    </row>
    <row r="20"/>
    <row r="21"/>
    <row r="22">
      <c r="B22" s="33" t="inlineStr">
        <is>
          <t xml:space="preserve">  COMPS-IMPLIED VALUATION FOR AMD (Base Case NTM Estimates)</t>
        </is>
      </c>
    </row>
    <row r="23">
      <c r="B23" s="7" t="inlineStr">
        <is>
          <t>Method</t>
        </is>
      </c>
      <c r="C23" s="7" t="inlineStr">
        <is>
          <t>Peer Multiple</t>
        </is>
      </c>
      <c r="D23" s="7" t="inlineStr">
        <is>
          <t>AMD NTM Metric</t>
        </is>
      </c>
      <c r="E23" s="7" t="inlineStr">
        <is>
          <t>Implied Price ($)</t>
        </is>
      </c>
      <c r="F23" s="7" t="inlineStr">
        <is>
          <t>Upside vs $445.50</t>
        </is>
      </c>
    </row>
    <row r="24" ht="18" customHeight="1">
      <c r="B24" s="43" t="inlineStr">
        <is>
          <t>P/E (using median peer 40.9x)</t>
        </is>
      </c>
      <c r="C24" s="134" t="n">
        <v>40.9</v>
      </c>
      <c r="D24" s="135" t="inlineStr">
        <is>
          <t>NTM EPS $9.56</t>
        </is>
      </c>
      <c r="E24" s="136" t="n">
        <v>391</v>
      </c>
      <c r="F24" s="137" t="n">
        <v>-0.1223</v>
      </c>
    </row>
    <row r="25" ht="18" customHeight="1">
      <c r="B25" s="43" t="inlineStr">
        <is>
          <t>EV/EBITDA (using median peer 37.1x)</t>
        </is>
      </c>
      <c r="C25" s="134" t="n">
        <v>37.1</v>
      </c>
      <c r="D25" s="135" t="inlineStr">
        <is>
          <t>NTM EBITDA $12.7B</t>
        </is>
      </c>
      <c r="E25" s="136" t="n">
        <v>289.73</v>
      </c>
      <c r="F25" s="137" t="n">
        <v>-0.3497</v>
      </c>
    </row>
    <row r="26" ht="18" customHeight="1">
      <c r="B26" s="43" t="inlineStr">
        <is>
          <t>P/E (AMD 5Y avg growth-adj, 60x)</t>
        </is>
      </c>
      <c r="C26" s="134" t="n">
        <v>60</v>
      </c>
      <c r="D26" s="135" t="inlineStr">
        <is>
          <t>NTM EPS $9.56</t>
        </is>
      </c>
      <c r="E26" s="136" t="n">
        <v>573.6</v>
      </c>
      <c r="F26" s="17" t="n">
        <v>0.2875</v>
      </c>
    </row>
    <row r="27"/>
    <row r="28"/>
    <row r="29">
      <c r="B29" s="33" t="inlineStr">
        <is>
          <t xml:space="preserve">  PRICE TARGET DERIVATION (50% DCF / 50% Comps)</t>
        </is>
      </c>
    </row>
    <row r="30">
      <c r="B30" s="7" t="inlineStr">
        <is>
          <t>Method</t>
        </is>
      </c>
      <c r="C30" s="7" t="inlineStr">
        <is>
          <t>Weight</t>
        </is>
      </c>
      <c r="D30" s="7" t="inlineStr">
        <is>
          <t>Implied Value ($)</t>
        </is>
      </c>
      <c r="E30" s="7" t="inlineStr">
        <is>
          <t>Contribution ($)</t>
        </is>
      </c>
    </row>
    <row r="31" ht="18" customHeight="1">
      <c r="B31" s="43" t="inlineStr">
        <is>
          <t>DCF (Perpetuity Growth)</t>
        </is>
      </c>
      <c r="C31" s="10" t="n">
        <v>0.5</v>
      </c>
      <c r="D31" s="74" t="n">
        <v>553</v>
      </c>
      <c r="E31" s="74">
        <f>D31*C31</f>
        <v/>
      </c>
    </row>
    <row r="32" ht="18" customHeight="1">
      <c r="B32" s="43" t="inlineStr">
        <is>
          <t>Comps — P/E 60x NTM EPS</t>
        </is>
      </c>
      <c r="C32" s="10" t="n">
        <v>0.25</v>
      </c>
      <c r="D32" s="74" t="n">
        <v>573.6</v>
      </c>
      <c r="E32" s="74">
        <f>D32*C32</f>
        <v/>
      </c>
    </row>
    <row r="33" ht="18" customHeight="1">
      <c r="B33" s="43" t="inlineStr">
        <is>
          <t>Comps — EV/EBITDA 37x NTM</t>
        </is>
      </c>
      <c r="C33" s="10" t="n">
        <v>0.25</v>
      </c>
      <c r="D33" s="74" t="n">
        <v>513.7</v>
      </c>
      <c r="E33" s="74">
        <f>D33*C33</f>
        <v/>
      </c>
    </row>
    <row r="34" ht="22" customHeight="1">
      <c r="B34" s="8" t="inlineStr">
        <is>
          <t>BLENDED PRICE TARGET</t>
        </is>
      </c>
      <c r="E34" s="138">
        <f>SUM(E31:E33)</f>
        <v/>
      </c>
    </row>
    <row r="35"/>
    <row r="36">
      <c r="B36" s="27" t="inlineStr">
        <is>
          <t>Sources: Bloomberg, FactSet, company filings as of May 2026. Market cap and price data from finance_analyst tool (May 13, 2026). Peer set: NVDA, AVGO, QCOM, MU, INTC, ARM. AMD currently trades at 149x TTM P/E due to near-breakeven GAAP EPS — forward P/E more relevant.</t>
        </is>
      </c>
    </row>
  </sheetData>
  <mergeCells count="5">
    <mergeCell ref="B36:N36"/>
    <mergeCell ref="B13:L13"/>
    <mergeCell ref="B29:L29"/>
    <mergeCell ref="B22:L22"/>
    <mergeCell ref="B2:N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55"/>
  <sheetViews>
    <sheetView workbookViewId="0">
      <selection activeCell="A1" sqref="A1"/>
    </sheetView>
  </sheetViews>
  <sheetFormatPr baseColWidth="8" defaultRowHeight="15" outlineLevelCol="0"/>
  <cols>
    <col width="3" customWidth="1" min="1" max="1"/>
    <col width="35" customWidth="1" min="2" max="2"/>
    <col width="15" customWidth="1" min="3" max="3"/>
    <col width="22" customWidth="1" min="4" max="4"/>
    <col width="22" customWidth="1" min="5" max="5"/>
    <col width="22" customWidth="1" min="6" max="6"/>
    <col width="28" customWidth="1" min="7" max="7"/>
    <col width="22" customWidth="1" min="8" max="8"/>
    <col width="22" customWidth="1" min="9" max="9"/>
  </cols>
  <sheetData>
    <row r="1"/>
    <row r="2" ht="28" customHeight="1">
      <c r="B2" s="28" t="inlineStr">
        <is>
          <t>AMD — INVESTMENT THESIS TRACKER  |  Pillars · Risks · Catalysts · KPIs</t>
        </is>
      </c>
    </row>
    <row r="3" ht="16" customHeight="1">
      <c r="B3" s="139" t="inlineStr">
        <is>
          <t>Live tracking sheet for monitoring AMD thesis confirmation/refutation over 12–24 months from initiation (May 2026)</t>
        </is>
      </c>
    </row>
    <row r="4"/>
    <row r="5" ht="22" customHeight="1">
      <c r="B5" s="4" t="inlineStr">
        <is>
          <t>PILLAR 1 — AI ACCELERATOR MARKET SHARE CAPTURE</t>
        </is>
      </c>
    </row>
    <row r="6" ht="48" customHeight="1">
      <c r="B6" s="140" t="inlineStr">
        <is>
          <t>Thesis: AMD is the credible #2 AI accelerator vendor with ~7% market share. The MI300X/MI350/MI400 Instinct GPU series has secured hyperscaler qualifications at Microsoft Azure, Google, Oracle OCI, Meta, and an OpenAI multi-year supply agreement. ROCm software stack improvements reduce CUDA switching costs.</t>
        </is>
      </c>
    </row>
    <row r="7" ht="22" customHeight="1">
      <c r="B7" s="7" t="inlineStr">
        <is>
          <t>KPI</t>
        </is>
      </c>
      <c r="C7" s="7" t="inlineStr">
        <is>
          <t>Frequency</t>
        </is>
      </c>
      <c r="D7" s="7" t="inlineStr">
        <is>
          <t>Current / Recent</t>
        </is>
      </c>
      <c r="E7" s="7" t="inlineStr">
        <is>
          <t>Base Target</t>
        </is>
      </c>
      <c r="F7" s="7" t="inlineStr">
        <is>
          <t>Bull Target</t>
        </is>
      </c>
      <c r="G7" s="7" t="inlineStr">
        <is>
          <t>Cadence</t>
        </is>
      </c>
      <c r="H7" s="7" t="inlineStr">
        <is>
          <t>Bear Signal</t>
        </is>
      </c>
    </row>
    <row r="8" ht="18" customHeight="1">
      <c r="B8" s="141" t="inlineStr">
        <is>
          <t>Data Center Revenue ($M)</t>
        </is>
      </c>
      <c r="C8" s="82" t="inlineStr">
        <is>
          <t>Quarterly</t>
        </is>
      </c>
      <c r="D8" s="82" t="inlineStr">
        <is>
          <t>$3.7B (Q1'26A)</t>
        </is>
      </c>
      <c r="E8" s="82" t="inlineStr">
        <is>
          <t>$5.8B (Q2'26E)</t>
        </is>
      </c>
      <c r="F8" s="82" t="inlineStr">
        <is>
          <t>Bull: &gt;$6.5B</t>
        </is>
      </c>
      <c r="G8" s="82" t="inlineStr">
        <is>
          <t>&gt;57% YoY</t>
        </is>
      </c>
      <c r="H8" s="142" t="inlineStr">
        <is>
          <t>BEAR IF &lt;$4.5B</t>
        </is>
      </c>
    </row>
    <row r="9" ht="18" customHeight="1">
      <c r="B9" s="52" t="inlineStr">
        <is>
          <t>AI GPU Revenue ($M)</t>
        </is>
      </c>
      <c r="C9" s="11" t="inlineStr">
        <is>
          <t>Semi-annual</t>
        </is>
      </c>
      <c r="D9" s="11" t="inlineStr">
        <is>
          <t>~$2.7B MI300X</t>
        </is>
      </c>
      <c r="E9" s="11" t="inlineStr">
        <is>
          <t>&gt;$5B MI400 ramp</t>
        </is>
      </c>
      <c r="F9" s="11" t="inlineStr">
        <is>
          <t>Bull: &gt;$6B</t>
        </is>
      </c>
      <c r="G9" s="11" t="inlineStr">
        <is>
          <t>H2 2026 ramp</t>
        </is>
      </c>
      <c r="H9" s="143" t="inlineStr">
        <is>
          <t>BEAR IF &lt;$3.5B</t>
        </is>
      </c>
    </row>
    <row r="10" ht="18" customHeight="1">
      <c r="B10" s="141" t="inlineStr">
        <is>
          <t>Instinct GPU Market Share (%)</t>
        </is>
      </c>
      <c r="C10" s="82" t="inlineStr">
        <is>
          <t>Quarterly</t>
        </is>
      </c>
      <c r="D10" s="82" t="inlineStr">
        <is>
          <t>~7% (Q1'26)</t>
        </is>
      </c>
      <c r="E10" s="82" t="inlineStr">
        <is>
          <t>&gt;10%</t>
        </is>
      </c>
      <c r="F10" s="82" t="inlineStr">
        <is>
          <t>Bull: &gt;12%</t>
        </is>
      </c>
      <c r="G10" s="82" t="inlineStr">
        <is>
          <t>Annual +2-3pp</t>
        </is>
      </c>
      <c r="H10" s="142" t="inlineStr">
        <is>
          <t>BEAR IF &lt;6%</t>
        </is>
      </c>
    </row>
    <row r="11" ht="18" customHeight="1">
      <c r="B11" s="52" t="inlineStr">
        <is>
          <t>MI400 Hyperscaler Qualifications</t>
        </is>
      </c>
      <c r="C11" s="11" t="inlineStr">
        <is>
          <t>Bi-annual</t>
        </is>
      </c>
      <c r="D11" s="11" t="inlineStr">
        <is>
          <t>Announced</t>
        </is>
      </c>
      <c r="E11" s="11" t="inlineStr">
        <is>
          <t>In volume</t>
        </is>
      </c>
      <c r="F11" s="11" t="inlineStr">
        <is>
          <t>Bull: 5+ hyperscalers</t>
        </is>
      </c>
      <c r="G11" s="11" t="inlineStr">
        <is>
          <t>Mid-2026</t>
        </is>
      </c>
      <c r="H11" s="143" t="inlineStr">
        <is>
          <t>BEAR IF delayed</t>
        </is>
      </c>
    </row>
    <row r="12" ht="18" customHeight="1">
      <c r="B12" s="141" t="inlineStr">
        <is>
          <t>ROCm Developer Count (k)</t>
        </is>
      </c>
      <c r="C12" s="82" t="inlineStr">
        <is>
          <t>Annual</t>
        </is>
      </c>
      <c r="D12" s="82" t="inlineStr">
        <is>
          <t>~200k est.</t>
        </is>
      </c>
      <c r="E12" s="82" t="inlineStr">
        <is>
          <t>&gt;500k</t>
        </is>
      </c>
      <c r="F12" s="82" t="inlineStr">
        <is>
          <t>Bull: &gt;1M</t>
        </is>
      </c>
      <c r="G12" s="82" t="inlineStr">
        <is>
          <t>+150k annually</t>
        </is>
      </c>
      <c r="H12" s="142" t="inlineStr">
        <is>
          <t>BEAR IF stagnant</t>
        </is>
      </c>
    </row>
    <row r="13"/>
    <row r="14"/>
    <row r="15" ht="22" customHeight="1">
      <c r="B15" s="144" t="inlineStr">
        <is>
          <t>PILLAR 2 — EPYC SERVER CPU MARKET SHARE DOMINANCE</t>
        </is>
      </c>
    </row>
    <row r="16" ht="48" customHeight="1">
      <c r="B16" s="145" t="inlineStr">
        <is>
          <t>Thesis: EPYC Turin (4th gen) offers industry-leading core count (up to 192 cores), memory bandwidth, and performance-per-watt vs. Intel Xeon. AMD server CPU revenue share reached ~41% by Q4 2025 from &lt;2% in 2018. AMD targets &gt;50% share. Cloud providers have deployed 1,350+ public EPYC instances (+50% YoY). Server CPU TAM growing &gt;35% CAGR to $120B+ by 2030.</t>
        </is>
      </c>
    </row>
    <row r="17" ht="22" customHeight="1">
      <c r="B17" s="7" t="inlineStr">
        <is>
          <t>KPI</t>
        </is>
      </c>
      <c r="C17" s="7" t="inlineStr">
        <is>
          <t>Frequency</t>
        </is>
      </c>
      <c r="D17" s="7" t="inlineStr">
        <is>
          <t>Current / Recent</t>
        </is>
      </c>
      <c r="E17" s="7" t="inlineStr">
        <is>
          <t>Base Target</t>
        </is>
      </c>
      <c r="F17" s="7" t="inlineStr">
        <is>
          <t>Bull Target</t>
        </is>
      </c>
      <c r="G17" s="7" t="inlineStr">
        <is>
          <t>Cadence</t>
        </is>
      </c>
      <c r="H17" s="7" t="inlineStr">
        <is>
          <t>Bear Signal</t>
        </is>
      </c>
    </row>
    <row r="18" ht="18" customHeight="1">
      <c r="B18" s="146" t="inlineStr">
        <is>
          <t>Server CPU Revenue Market Share</t>
        </is>
      </c>
      <c r="C18" s="90" t="inlineStr">
        <is>
          <t>Quarterly</t>
        </is>
      </c>
      <c r="D18" s="90" t="inlineStr">
        <is>
          <t>~41% (Q4'25)</t>
        </is>
      </c>
      <c r="E18" s="90" t="inlineStr">
        <is>
          <t>&gt;45%</t>
        </is>
      </c>
      <c r="F18" s="90" t="inlineStr">
        <is>
          <t>Bull: &gt;50%</t>
        </is>
      </c>
      <c r="G18" s="90" t="inlineStr">
        <is>
          <t>+2-4pp/year</t>
        </is>
      </c>
      <c r="H18" s="147" t="inlineStr">
        <is>
          <t>BEAR IF declining</t>
        </is>
      </c>
    </row>
    <row r="19" ht="18" customHeight="1">
      <c r="B19" s="52" t="inlineStr">
        <is>
          <t>EPYC Cloud Instances Available</t>
        </is>
      </c>
      <c r="C19" s="11" t="inlineStr">
        <is>
          <t>Quarterly</t>
        </is>
      </c>
      <c r="D19" s="11" t="inlineStr">
        <is>
          <t>1,350+</t>
        </is>
      </c>
      <c r="E19" s="11" t="inlineStr">
        <is>
          <t>&gt;2,000</t>
        </is>
      </c>
      <c r="F19" s="11" t="inlineStr">
        <is>
          <t>Bull: &gt;2,500</t>
        </is>
      </c>
      <c r="G19" s="11" t="inlineStr">
        <is>
          <t>+50% YoY</t>
        </is>
      </c>
      <c r="H19" s="143" t="inlineStr">
        <is>
          <t>BEAR IF &lt;1,500</t>
        </is>
      </c>
    </row>
    <row r="20" ht="18" customHeight="1">
      <c r="B20" s="146" t="inlineStr">
        <is>
          <t>Data Center Server Revenue ($M)</t>
        </is>
      </c>
      <c r="C20" s="90" t="inlineStr">
        <is>
          <t>Quarterly</t>
        </is>
      </c>
      <c r="D20" s="90" t="inlineStr">
        <is>
          <t>Included in DC</t>
        </is>
      </c>
      <c r="E20" s="90" t="inlineStr">
        <is>
          <t>&gt;$2.5B/Q</t>
        </is>
      </c>
      <c r="F20" s="90" t="inlineStr">
        <is>
          <t>Bull: &gt;$3B/Q</t>
        </is>
      </c>
      <c r="G20" s="90" t="inlineStr">
        <is>
          <t>Q/Q growth</t>
        </is>
      </c>
      <c r="H20" s="147" t="inlineStr">
        <is>
          <t>BEAR IF flat</t>
        </is>
      </c>
    </row>
    <row r="21" ht="18" customHeight="1">
      <c r="B21" s="52" t="inlineStr">
        <is>
          <t>New EPYC Hyperscaler Wins</t>
        </is>
      </c>
      <c r="C21" s="11" t="inlineStr">
        <is>
          <t>Annual</t>
        </is>
      </c>
      <c r="D21" s="11" t="inlineStr">
        <is>
          <t>Azure, GCP, Ali</t>
        </is>
      </c>
      <c r="E21" s="11" t="inlineStr">
        <is>
          <t>+2 new clouds</t>
        </is>
      </c>
      <c r="F21" s="11" t="inlineStr">
        <is>
          <t>Bull: All major CSPs</t>
        </is>
      </c>
      <c r="G21" s="11" t="inlineStr">
        <is>
          <t>Annual refresh</t>
        </is>
      </c>
      <c r="H21" s="143" t="inlineStr">
        <is>
          <t>BEAR IF losing share</t>
        </is>
      </c>
    </row>
    <row r="22"/>
    <row r="23"/>
    <row r="24" ht="22" customHeight="1">
      <c r="B24" s="148" t="inlineStr">
        <is>
          <t>PILLAR 3 — MARGIN EXPANSION AND FCF GENERATION</t>
        </is>
      </c>
    </row>
    <row r="25" ht="48" customHeight="1">
      <c r="B25" s="149" t="inlineStr">
        <is>
          <t>Thesis: Fabless model (2.9% CapEx/Revenue) provides massive operating leverage as Data Center mix (now &gt;60% of revenue) drives mix-shift toward premium-priced AI accelerators and server CPUs. Non-GAAP gross margin target 56%+ by mid-2026 (achieved Q1 2026 per guidance). FCF generation surged from $1.1B (FY2023) to $6.7B (FY2025), targeting $13B+ by FY2026E.</t>
        </is>
      </c>
    </row>
    <row r="26" ht="22" customHeight="1">
      <c r="B26" s="7" t="inlineStr">
        <is>
          <t>KPI</t>
        </is>
      </c>
      <c r="C26" s="7" t="inlineStr">
        <is>
          <t>Frequency</t>
        </is>
      </c>
      <c r="D26" s="7" t="inlineStr">
        <is>
          <t>Current / Recent</t>
        </is>
      </c>
      <c r="E26" s="7" t="inlineStr">
        <is>
          <t>Base Target (12M)</t>
        </is>
      </c>
      <c r="F26" s="7" t="inlineStr">
        <is>
          <t>Bull Target (18M)</t>
        </is>
      </c>
      <c r="G26" s="7" t="inlineStr">
        <is>
          <t>Growth Assumption</t>
        </is>
      </c>
      <c r="H26" s="7" t="inlineStr">
        <is>
          <t>Bear Signal</t>
        </is>
      </c>
    </row>
    <row r="27" ht="18" customHeight="1">
      <c r="B27" s="150" t="inlineStr">
        <is>
          <t>Non-GAAP Gross Margin</t>
        </is>
      </c>
      <c r="C27" s="151" t="inlineStr">
        <is>
          <t>Quarterly</t>
        </is>
      </c>
      <c r="D27" s="151" t="inlineStr">
        <is>
          <t>52% (FY2025A)</t>
        </is>
      </c>
      <c r="E27" s="151" t="inlineStr">
        <is>
          <t>&gt;55%</t>
        </is>
      </c>
      <c r="F27" s="151" t="inlineStr">
        <is>
          <t>Bull: &gt;58%</t>
        </is>
      </c>
      <c r="G27" s="151" t="inlineStr">
        <is>
          <t>+100-200bps/yr</t>
        </is>
      </c>
      <c r="H27" s="152" t="inlineStr">
        <is>
          <t>BEAR IF &lt;53%</t>
        </is>
      </c>
    </row>
    <row r="28" ht="18" customHeight="1">
      <c r="B28" s="52" t="inlineStr">
        <is>
          <t>Non-GAAP EBITDA Margin</t>
        </is>
      </c>
      <c r="C28" s="11" t="inlineStr">
        <is>
          <t>Quarterly</t>
        </is>
      </c>
      <c r="D28" s="11" t="inlineStr">
        <is>
          <t>24.6% (FY2025A)</t>
        </is>
      </c>
      <c r="E28" s="11" t="inlineStr">
        <is>
          <t>&gt;28%</t>
        </is>
      </c>
      <c r="F28" s="11" t="inlineStr">
        <is>
          <t>Bull: &gt;32%</t>
        </is>
      </c>
      <c r="G28" s="11" t="inlineStr">
        <is>
          <t>+300-400bps/yr</t>
        </is>
      </c>
      <c r="H28" s="143" t="inlineStr">
        <is>
          <t>BEAR IF &lt;22%</t>
        </is>
      </c>
    </row>
    <row r="29" ht="18" customHeight="1">
      <c r="B29" s="150" t="inlineStr">
        <is>
          <t>Free Cash Flow ($B)</t>
        </is>
      </c>
      <c r="C29" s="151" t="inlineStr">
        <is>
          <t>Quarterly</t>
        </is>
      </c>
      <c r="D29" s="151" t="inlineStr">
        <is>
          <t>$6.7B (FY2025A)</t>
        </is>
      </c>
      <c r="E29" s="151" t="inlineStr">
        <is>
          <t>&gt;$13B</t>
        </is>
      </c>
      <c r="F29" s="151" t="inlineStr">
        <is>
          <t>Bull: &gt;$16B</t>
        </is>
      </c>
      <c r="G29" s="151" t="inlineStr">
        <is>
          <t>FY2026E target</t>
        </is>
      </c>
      <c r="H29" s="152" t="inlineStr">
        <is>
          <t>BEAR IF &lt;$8B</t>
        </is>
      </c>
    </row>
    <row r="30" ht="18" customHeight="1">
      <c r="B30" s="52" t="inlineStr">
        <is>
          <t>FCF Margin</t>
        </is>
      </c>
      <c r="C30" s="11" t="inlineStr">
        <is>
          <t>Quarterly</t>
        </is>
      </c>
      <c r="D30" s="11" t="inlineStr">
        <is>
          <t>19.4% (FY2025A)</t>
        </is>
      </c>
      <c r="E30" s="11" t="inlineStr">
        <is>
          <t>&gt;26%</t>
        </is>
      </c>
      <c r="F30" s="11" t="inlineStr">
        <is>
          <t>Bull: &gt;28%</t>
        </is>
      </c>
      <c r="G30" s="11" t="inlineStr">
        <is>
          <t>Expanding YoY</t>
        </is>
      </c>
      <c r="H30" s="143" t="inlineStr">
        <is>
          <t>BEAR IF &lt;18%</t>
        </is>
      </c>
    </row>
    <row r="31" ht="18" customHeight="1">
      <c r="B31" s="150" t="inlineStr">
        <is>
          <t>R&amp;D as % of Revenue</t>
        </is>
      </c>
      <c r="C31" s="151" t="inlineStr">
        <is>
          <t>Quarterly</t>
        </is>
      </c>
      <c r="D31" s="151" t="inlineStr">
        <is>
          <t>23.3% (FY2025A)</t>
        </is>
      </c>
      <c r="E31" s="151" t="inlineStr">
        <is>
          <t>&lt;20%</t>
        </is>
      </c>
      <c r="F31" s="151" t="inlineStr">
        <is>
          <t>Bull: &lt;18%</t>
        </is>
      </c>
      <c r="G31" s="151" t="inlineStr">
        <is>
          <t>Leverage as rev grows</t>
        </is>
      </c>
      <c r="H31" s="152" t="inlineStr">
        <is>
          <t>BEAR IF &gt;25%</t>
        </is>
      </c>
    </row>
    <row r="32" ht="18" customHeight="1">
      <c r="B32" s="52" t="inlineStr">
        <is>
          <t>Share Buybacks ($B/yr)</t>
        </is>
      </c>
      <c r="C32" s="11" t="inlineStr">
        <is>
          <t>Quarterly</t>
        </is>
      </c>
      <c r="D32" s="11" t="inlineStr">
        <is>
          <t>$1.1B (FY2025A)</t>
        </is>
      </c>
      <c r="E32" s="11" t="inlineStr">
        <is>
          <t>&gt;$2B/yr</t>
        </is>
      </c>
      <c r="F32" s="11" t="inlineStr">
        <is>
          <t>Bull: &gt;$3B/yr</t>
        </is>
      </c>
      <c r="G32" s="11" t="inlineStr">
        <is>
          <t>Increase 50% YoY</t>
        </is>
      </c>
      <c r="H32" s="143" t="inlineStr">
        <is>
          <t>BEAR IF halted</t>
        </is>
      </c>
    </row>
    <row r="33"/>
    <row r="34"/>
    <row r="35" ht="22" customHeight="1">
      <c r="B35" s="153" t="inlineStr">
        <is>
          <t>RISK REGISTER</t>
        </is>
      </c>
    </row>
    <row r="36" ht="22" customHeight="1">
      <c r="B36" s="7" t="inlineStr">
        <is>
          <t>Risk</t>
        </is>
      </c>
      <c r="C36" s="7" t="inlineStr">
        <is>
          <t>Category</t>
        </is>
      </c>
      <c r="D36" s="7" t="inlineStr">
        <is>
          <t>Severity</t>
        </is>
      </c>
      <c r="E36" s="7" t="inlineStr">
        <is>
          <t>Probability</t>
        </is>
      </c>
      <c r="F36" s="7" t="inlineStr">
        <is>
          <t>Impact ($B EV)</t>
        </is>
      </c>
      <c r="G36" s="7" t="inlineStr">
        <is>
          <t>Mitigant</t>
        </is>
      </c>
      <c r="H36" s="7" t="inlineStr">
        <is>
          <t>Monitoring Indicator</t>
        </is>
      </c>
      <c r="I36" s="7" t="inlineStr">
        <is>
          <t>Status</t>
        </is>
      </c>
    </row>
    <row r="37" ht="48" customHeight="1">
      <c r="B37" s="154" t="inlineStr">
        <is>
          <t>NVIDIA CUDA ecosystem moat widens; GPU share gains below expectation</t>
        </is>
      </c>
      <c r="C37" s="155" t="inlineStr">
        <is>
          <t>Competitive</t>
        </is>
      </c>
      <c r="D37" s="23" t="inlineStr">
        <is>
          <t>HIGH</t>
        </is>
      </c>
      <c r="E37" s="155" t="inlineStr">
        <is>
          <t>Medium</t>
        </is>
      </c>
      <c r="F37" s="155" t="inlineStr">
        <is>
          <t>-$150-200B EV</t>
        </is>
      </c>
      <c r="G37" s="155" t="inlineStr">
        <is>
          <t>ROCm ecosystem investment; &gt;100 CUDA alternative frameworks; PyTorch native support</t>
        </is>
      </c>
      <c r="H37" s="155" t="inlineStr">
        <is>
          <t>AMD AI GPU market share quarterly data; ROCm adoption metrics</t>
        </is>
      </c>
      <c r="I37" s="155" t="inlineStr">
        <is>
          <t>Active</t>
        </is>
      </c>
    </row>
    <row r="38" ht="48" customHeight="1">
      <c r="B38" s="156" t="inlineStr">
        <is>
          <t>US export controls on MI300X/MI400 to China expanded</t>
        </is>
      </c>
      <c r="C38" s="157" t="inlineStr">
        <is>
          <t>Regulatory</t>
        </is>
      </c>
      <c r="D38" s="23" t="inlineStr">
        <is>
          <t>HIGH</t>
        </is>
      </c>
      <c r="E38" s="157" t="inlineStr">
        <is>
          <t>Medium-High</t>
        </is>
      </c>
      <c r="F38" s="157" t="inlineStr">
        <is>
          <t>-$50-100B EV</t>
        </is>
      </c>
      <c r="G38" s="157" t="inlineStr">
        <is>
          <t>~$100M China exposure already excluded from guidance; diversified HPC/sovereign AI revenue</t>
        </is>
      </c>
      <c r="H38" s="157" t="inlineStr">
        <is>
          <t>US BIS rule updates; AMD China revenue % disclosures</t>
        </is>
      </c>
      <c r="I38" s="157" t="inlineStr">
        <is>
          <t>Active</t>
        </is>
      </c>
    </row>
    <row r="39" ht="48" customHeight="1">
      <c r="B39" s="154" t="inlineStr">
        <is>
          <t>Hyperscaler AI capex slowdown if AI ROI disappoints</t>
        </is>
      </c>
      <c r="C39" s="155" t="inlineStr">
        <is>
          <t>Macro/Demand</t>
        </is>
      </c>
      <c r="D39" s="25" t="inlineStr">
        <is>
          <t>MEDIUM</t>
        </is>
      </c>
      <c r="E39" s="155" t="inlineStr">
        <is>
          <t>Low-Medium</t>
        </is>
      </c>
      <c r="F39" s="155" t="inlineStr">
        <is>
          <t>-$100-150B EV</t>
        </is>
      </c>
      <c r="G39" s="155" t="inlineStr">
        <is>
          <t>AMD benefits from diversified workloads (inference, training, EPYC server); not single-workload</t>
        </is>
      </c>
      <c r="H39" s="155" t="inlineStr">
        <is>
          <t>Hyperscaler capex guidance in earnings; AI services revenue growth</t>
        </is>
      </c>
      <c r="I39" s="155" t="inlineStr">
        <is>
          <t>Active</t>
        </is>
      </c>
    </row>
    <row r="40" ht="48" customHeight="1">
      <c r="B40" s="156" t="inlineStr">
        <is>
          <t>Intel 18A process node recovery competes for server CPU share</t>
        </is>
      </c>
      <c r="C40" s="157" t="inlineStr">
        <is>
          <t>Competitive</t>
        </is>
      </c>
      <c r="D40" s="25" t="inlineStr">
        <is>
          <t>MEDIUM</t>
        </is>
      </c>
      <c r="E40" s="157" t="inlineStr">
        <is>
          <t>Low</t>
        </is>
      </c>
      <c r="F40" s="157" t="inlineStr">
        <is>
          <t>-$30-50B EV</t>
        </is>
      </c>
      <c r="G40" s="157" t="inlineStr">
        <is>
          <t>AMD has 5+ year head start in EPYC wins; strong design-in pipeline; Intel facing foundry ramp risk</t>
        </is>
      </c>
      <c r="H40" s="157" t="inlineStr">
        <is>
          <t>Intel 18A yield announcements; Intel server CPU market share</t>
        </is>
      </c>
      <c r="I40" s="157" t="inlineStr">
        <is>
          <t>Monitoring</t>
        </is>
      </c>
    </row>
    <row r="41" ht="48" customHeight="1">
      <c r="B41" s="154" t="inlineStr">
        <is>
          <t>Semiconductor demand cycle downturn (PC/Gaming/Embedded)</t>
        </is>
      </c>
      <c r="C41" s="155" t="inlineStr">
        <is>
          <t>Cyclical</t>
        </is>
      </c>
      <c r="D41" s="26" t="inlineStr">
        <is>
          <t>LOW</t>
        </is>
      </c>
      <c r="E41" s="155" t="inlineStr">
        <is>
          <t>Low-Medium</t>
        </is>
      </c>
      <c r="F41" s="155" t="inlineStr">
        <is>
          <t>-$20-40B EV</t>
        </is>
      </c>
      <c r="G41" s="155" t="inlineStr">
        <is>
          <t>Data Center (&gt;60% revenue) is counter-cyclical to consumer; Embedded normalizing from trough</t>
        </is>
      </c>
      <c r="H41" s="155" t="inlineStr">
        <is>
          <t>PC market shipment data; AMD Gaming/Client quarterly guidance</t>
        </is>
      </c>
      <c r="I41" s="155" t="inlineStr">
        <is>
          <t>Low priority</t>
        </is>
      </c>
    </row>
    <row r="42" ht="48" customHeight="1">
      <c r="B42" s="156" t="inlineStr">
        <is>
          <t>AMD-specific: high GAAP P/E (149x) creates valuation risk</t>
        </is>
      </c>
      <c r="C42" s="157" t="inlineStr">
        <is>
          <t>Valuation</t>
        </is>
      </c>
      <c r="D42" s="25" t="inlineStr">
        <is>
          <t>MEDIUM</t>
        </is>
      </c>
      <c r="E42" s="157" t="inlineStr">
        <is>
          <t>Medium</t>
        </is>
      </c>
      <c r="F42" s="157" t="inlineStr">
        <is>
          <t>-$50-100B EV</t>
        </is>
      </c>
      <c r="G42" s="157" t="inlineStr">
        <is>
          <t>Growth in non-GAAP metrics; large PPA amortization from Xilinx ($25B goodwill) distorting GAAP</t>
        </is>
      </c>
      <c r="H42" s="157" t="inlineStr">
        <is>
          <t>GAAP vs Non-GAAP reconciliation; amortization schedule</t>
        </is>
      </c>
      <c r="I42" s="157" t="inlineStr">
        <is>
          <t>Active</t>
        </is>
      </c>
    </row>
    <row r="43" ht="48" customHeight="1">
      <c r="B43" s="154" t="inlineStr">
        <is>
          <t>Key executive risk (Lisa Su departure)</t>
        </is>
      </c>
      <c r="C43" s="155" t="inlineStr">
        <is>
          <t>Management</t>
        </is>
      </c>
      <c r="D43" s="26" t="inlineStr">
        <is>
          <t>LOW</t>
        </is>
      </c>
      <c r="E43" s="155" t="inlineStr">
        <is>
          <t>Very Low</t>
        </is>
      </c>
      <c r="F43" s="155" t="inlineStr">
        <is>
          <t>-$30-60B EV</t>
        </is>
      </c>
      <c r="G43" s="155" t="inlineStr">
        <is>
          <t>Strong executive bench; AMD culture/strategy embedded across organization</t>
        </is>
      </c>
      <c r="H43" s="155" t="inlineStr">
        <is>
          <t>Executive compensation filings; insider ownership changes</t>
        </is>
      </c>
      <c r="I43" s="155" t="inlineStr">
        <is>
          <t>Low priority</t>
        </is>
      </c>
    </row>
    <row r="44" ht="48" customHeight="1">
      <c r="B44" s="156" t="inlineStr">
        <is>
          <t>Taiwan geopolitical risk (TSMC manufacturing concentration)</t>
        </is>
      </c>
      <c r="C44" s="157" t="inlineStr">
        <is>
          <t>Geopolitical</t>
        </is>
      </c>
      <c r="D44" s="23" t="inlineStr">
        <is>
          <t>HIGH</t>
        </is>
      </c>
      <c r="E44" s="157" t="inlineStr">
        <is>
          <t>Very Low</t>
        </is>
      </c>
      <c r="F44" s="157" t="inlineStr">
        <is>
          <t>Catastrophic</t>
        </is>
      </c>
      <c r="G44" s="157" t="inlineStr">
        <is>
          <t>TSMC Arizona fab partial diversification; design redundancy possible in 5Y window</t>
        </is>
      </c>
      <c r="H44" s="157" t="inlineStr">
        <is>
          <t>Taiwan Strait situation; TSMC Arizona capacity ramp</t>
        </is>
      </c>
      <c r="I44" s="157" t="inlineStr">
        <is>
          <t>Monitoring</t>
        </is>
      </c>
    </row>
    <row r="45"/>
    <row r="46"/>
    <row r="47" ht="22" customHeight="1">
      <c r="B47" s="158" t="inlineStr">
        <is>
          <t>NEAR-TERM CATALYSTS (0–18 Months)</t>
        </is>
      </c>
    </row>
    <row r="48" ht="22" customHeight="1">
      <c r="B48" s="7" t="inlineStr">
        <is>
          <t>Catalyst</t>
        </is>
      </c>
      <c r="C48" s="7" t="inlineStr">
        <is>
          <t>Timeline</t>
        </is>
      </c>
      <c r="D48" s="7" t="inlineStr">
        <is>
          <t>Potential Impact ($)</t>
        </is>
      </c>
      <c r="E48" s="7" t="inlineStr">
        <is>
          <t>Probability</t>
        </is>
      </c>
      <c r="F48" s="7" t="inlineStr">
        <is>
          <t>Bull Outcome</t>
        </is>
      </c>
      <c r="G48" s="7" t="inlineStr">
        <is>
          <t>Bear Outcome</t>
        </is>
      </c>
      <c r="H48" s="7" t="inlineStr">
        <is>
          <t>Monitoring Signal</t>
        </is>
      </c>
    </row>
    <row r="49" ht="40" customHeight="1">
      <c r="B49" s="159" t="inlineStr">
        <is>
          <t>Q2 2026 Earnings (Aug 5, 2026)</t>
        </is>
      </c>
      <c r="C49" s="82" t="inlineStr">
        <is>
          <t>July-Aug 2026</t>
        </is>
      </c>
      <c r="D49" s="82" t="inlineStr">
        <is>
          <t>+/- $40-80/share</t>
        </is>
      </c>
      <c r="E49" s="82" t="inlineStr">
        <is>
          <t>Certain</t>
        </is>
      </c>
      <c r="F49" s="160" t="inlineStr">
        <is>
          <t>Revenue &gt;$11.5B; margin &gt;57%; raise FY guide</t>
        </is>
      </c>
      <c r="G49" s="161" t="inlineStr">
        <is>
          <t>Revenue miss &lt;$10.8B; margin contraction; guide cut</t>
        </is>
      </c>
      <c r="H49" s="82" t="inlineStr">
        <is>
          <t>AMD IR calendar; FactSet estimate revisions</t>
        </is>
      </c>
    </row>
    <row r="50" ht="40" customHeight="1">
      <c r="B50" s="162" t="inlineStr">
        <is>
          <t>MI400 Helios Rack Production Ramp</t>
        </is>
      </c>
      <c r="C50" s="11" t="inlineStr">
        <is>
          <t>H2 2026</t>
        </is>
      </c>
      <c r="D50" s="11" t="inlineStr">
        <is>
          <t>+$50-120/share</t>
        </is>
      </c>
      <c r="E50" s="11" t="inlineStr">
        <is>
          <t>High (75%)</t>
        </is>
      </c>
      <c r="F50" s="163" t="inlineStr">
        <is>
          <t>On-time delivery to hyperscalers; ASP &gt;$30k/unit</t>
        </is>
      </c>
      <c r="G50" s="164" t="inlineStr">
        <is>
          <t>Supply chain delays; TSMC CoWoS bottleneck</t>
        </is>
      </c>
      <c r="H50" s="11" t="inlineStr">
        <is>
          <t>TSMC earnings commentary; supply chain checks</t>
        </is>
      </c>
    </row>
    <row r="51" ht="40" customHeight="1">
      <c r="B51" s="159" t="inlineStr">
        <is>
          <t>OpenAI 1GW AMD Instinct Deployment</t>
        </is>
      </c>
      <c r="C51" s="82" t="inlineStr">
        <is>
          <t>H2 2026-H1 2027</t>
        </is>
      </c>
      <c r="D51" s="82" t="inlineStr">
        <is>
          <t>+$30-80/share</t>
        </is>
      </c>
      <c r="E51" s="82" t="inlineStr">
        <is>
          <t>High (80%)</t>
        </is>
      </c>
      <c r="F51" s="160" t="inlineStr">
        <is>
          <t>Public announcement confirming volume; 2nd order</t>
        </is>
      </c>
      <c r="G51" s="161" t="inlineStr">
        <is>
          <t>Silence; switched to NVIDIA; capacity issues</t>
        </is>
      </c>
      <c r="H51" s="82" t="inlineStr">
        <is>
          <t>AMD PR; OpenAI infrastructure announcements</t>
        </is>
      </c>
    </row>
    <row r="52" ht="40" customHeight="1">
      <c r="B52" s="162" t="inlineStr">
        <is>
          <t>EPYC Server Share Hitting 50%</t>
        </is>
      </c>
      <c r="C52" s="11" t="inlineStr">
        <is>
          <t>2026-2027</t>
        </is>
      </c>
      <c r="D52" s="11" t="inlineStr">
        <is>
          <t>+$20-50/share</t>
        </is>
      </c>
      <c r="E52" s="11" t="inlineStr">
        <is>
          <t>Medium (55%)</t>
        </is>
      </c>
      <c r="F52" s="163" t="inlineStr">
        <is>
          <t>Mercury Research data confirms &gt;50% revenue share</t>
        </is>
      </c>
      <c r="G52" s="164" t="inlineStr">
        <is>
          <t>Intel Granite Rapids/Clearwater recovery</t>
        </is>
      </c>
      <c r="H52" s="11" t="inlineStr">
        <is>
          <t>Mercury Research quarterly CPU market share</t>
        </is>
      </c>
    </row>
    <row r="53" ht="40" customHeight="1">
      <c r="B53" s="159" t="inlineStr">
        <is>
          <t>Non-GAAP Operating Margin &gt;30%</t>
        </is>
      </c>
      <c r="C53" s="82" t="inlineStr">
        <is>
          <t>2027</t>
        </is>
      </c>
      <c r="D53" s="82" t="inlineStr">
        <is>
          <t>+$30-70/share</t>
        </is>
      </c>
      <c r="E53" s="82" t="inlineStr">
        <is>
          <t>Medium-High (65%)</t>
        </is>
      </c>
      <c r="F53" s="160" t="inlineStr">
        <is>
          <t>EBITDA margin &gt;35%; R&amp;D leverage materializes</t>
        </is>
      </c>
      <c r="G53" s="161" t="inlineStr">
        <is>
          <t>Margin flat; competitive pricing pressure</t>
        </is>
      </c>
      <c r="H53" s="82" t="inlineStr">
        <is>
          <t>AMD quarterly non-GAAP operating margin disclosure</t>
        </is>
      </c>
    </row>
    <row r="54" ht="40" customHeight="1">
      <c r="B54" s="162" t="inlineStr">
        <is>
          <t>MI500/Next-Gen GPU Announcement</t>
        </is>
      </c>
      <c r="C54" s="11" t="inlineStr">
        <is>
          <t>Late 2026-2027</t>
        </is>
      </c>
      <c r="D54" s="11" t="inlineStr">
        <is>
          <t>+$20-50/share</t>
        </is>
      </c>
      <c r="E54" s="11" t="inlineStr">
        <is>
          <t>High (85%)</t>
        </is>
      </c>
      <c r="F54" s="163" t="inlineStr">
        <is>
          <t>Competitive with NVIDIA Rubin; inference-optimized</t>
        </is>
      </c>
      <c r="G54" s="164" t="inlineStr">
        <is>
          <t>Architecture disappointment; ROCm issues</t>
        </is>
      </c>
      <c r="H54" s="11" t="inlineStr">
        <is>
          <t>AMD Financial Analyst Day; product roadmap events</t>
        </is>
      </c>
    </row>
    <row r="55" ht="40" customHeight="1">
      <c r="B55" s="159" t="inlineStr">
        <is>
          <t>AMD Financial Analyst Day</t>
        </is>
      </c>
      <c r="C55" s="82" t="inlineStr">
        <is>
          <t>Est. H2 2026</t>
        </is>
      </c>
      <c r="D55" s="82" t="inlineStr">
        <is>
          <t>+/-$30-60/share</t>
        </is>
      </c>
      <c r="E55" s="82" t="inlineStr">
        <is>
          <t>Likely (90%)</t>
        </is>
      </c>
      <c r="F55" s="160" t="inlineStr">
        <is>
          <t>&gt;35% revenue CAGR target reaffirmed; margin targets raised</t>
        </is>
      </c>
      <c r="G55" s="161" t="inlineStr">
        <is>
          <t>Guidance cut; TAM revision lower</t>
        </is>
      </c>
      <c r="H55" s="82" t="inlineStr">
        <is>
          <t>AMD IR website; investor events calendar</t>
        </is>
      </c>
    </row>
  </sheetData>
  <mergeCells count="10">
    <mergeCell ref="B16:Q16"/>
    <mergeCell ref="B47:Q47"/>
    <mergeCell ref="B35:Q35"/>
    <mergeCell ref="B6:Q6"/>
    <mergeCell ref="B24:Q24"/>
    <mergeCell ref="B2:Q2"/>
    <mergeCell ref="B15:Q15"/>
    <mergeCell ref="B25:Q25"/>
    <mergeCell ref="B3:Q3"/>
    <mergeCell ref="B5:Q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56"/>
  <sheetViews>
    <sheetView workbookViewId="0">
      <selection activeCell="A1" sqref="A1"/>
    </sheetView>
  </sheetViews>
  <sheetFormatPr baseColWidth="8" defaultRowHeight="15" outlineLevelCol="0"/>
  <cols>
    <col width="3" customWidth="1" min="1" max="1"/>
    <col width="18" customWidth="1" min="2" max="2"/>
    <col width="38" customWidth="1" min="3" max="3"/>
    <col width="18" customWidth="1" min="4" max="4"/>
    <col width="16" customWidth="1" min="5" max="5"/>
    <col width="16" customWidth="1" min="6" max="6"/>
    <col width="5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/>
    <row r="2" ht="28" customHeight="1">
      <c r="B2" s="28" t="inlineStr">
        <is>
          <t>AMD — VALUATION FRAMEWORK &amp; DCF MODEL ASSUMPTIONS</t>
        </is>
      </c>
    </row>
    <row r="3"/>
    <row r="4" ht="22" customHeight="1">
      <c r="B4" s="4" t="inlineStr">
        <is>
          <t>VALUATION FRAMEWORK — WHY MULTIPLE METHODS ARE REQUIRED FOR AMD</t>
        </is>
      </c>
    </row>
    <row r="5" ht="48" customHeight="1">
      <c r="B5" s="5" t="inlineStr">
        <is>
          <t>▪ AMD's valuation requires a multi-method approach because GAAP earnings significantly understate economic value due to (1) $25B+ Xilinx goodwill &amp; intangible amortization ($3–4B annually through ~2030), (2) aggressive R&amp;D investment (23% of revenue vs. peers 8–17%), and (3) early-stage revenue ramp in AI GPUs where economics are front-loaded.</t>
        </is>
      </c>
    </row>
    <row r="6" ht="48" customHeight="1">
      <c r="B6" s="5" t="inlineStr">
        <is>
          <t>▪ GAAP P/E (149x) is MISLEADING — the adjusted EPS ($4.17 FY2025, $9.56 FY2026E) better reflects cash earnings. Revenue multiple (EV/Sales) and forward EV/EBITDA are more comparable across the fabless peer group.</t>
        </is>
      </c>
    </row>
    <row r="7" ht="48" customHeight="1">
      <c r="B7" s="5" t="inlineStr">
        <is>
          <t>▪ The correct analytical lens is forward growth-adjusted multiples: AMD trades at ~46x forward P/E (FY2026E) vs. NVDA at 29x — AMD's discount to NVIDIA on forward metrics reflects lower market share, smaller software moat, and higher execution risk, not inferior business quality.</t>
        </is>
      </c>
    </row>
    <row r="8"/>
    <row r="9" ht="20" customHeight="1">
      <c r="B9" s="165" t="inlineStr">
        <is>
          <t>VALUATION METHODS — APPLICABILITY AND LIMITATIONS</t>
        </is>
      </c>
    </row>
    <row r="10" ht="24" customHeight="1">
      <c r="B10" s="7" t="inlineStr">
        <is>
          <t>Method</t>
        </is>
      </c>
      <c r="C10" s="7" t="inlineStr">
        <is>
          <t>Applicability for AMD</t>
        </is>
      </c>
      <c r="D10" s="7" t="inlineStr">
        <is>
          <t>Primary Multiple Used</t>
        </is>
      </c>
      <c r="E10" s="7" t="inlineStr">
        <is>
          <t>Current AMD Multiple</t>
        </is>
      </c>
      <c r="F10" s="7" t="inlineStr">
        <is>
          <t>Peer Median</t>
        </is>
      </c>
      <c r="G10" s="7" t="inlineStr">
        <is>
          <t>Implied Price ($)</t>
        </is>
      </c>
      <c r="H10" s="7" t="inlineStr">
        <is>
          <t>Weight in PT</t>
        </is>
      </c>
      <c r="I10" s="7" t="inlineStr">
        <is>
          <t>Limitation</t>
        </is>
      </c>
    </row>
    <row r="11" ht="36" customHeight="1">
      <c r="B11" s="166" t="inlineStr">
        <is>
          <t>DCF — Perpetuity Growth</t>
        </is>
      </c>
      <c r="C11" s="21" t="inlineStr">
        <is>
          <t>HIGH — captures long-term AI GPU + EPYC optionality</t>
        </is>
      </c>
      <c r="D11" s="167" t="inlineStr">
        <is>
          <t>WACC 9.54%, TGR 3.0%</t>
        </is>
      </c>
      <c r="E11" s="167" t="inlineStr">
        <is>
          <t>N/A</t>
        </is>
      </c>
      <c r="F11" s="167" t="inlineStr">
        <is>
          <t>N/A</t>
        </is>
      </c>
      <c r="G11" s="167" t="inlineStr">
        <is>
          <t>~$553</t>
        </is>
      </c>
      <c r="H11" s="168" t="inlineStr">
        <is>
          <t>50%</t>
        </is>
      </c>
      <c r="I11" s="21" t="inlineStr">
        <is>
          <t>Terminal value ~65% of EV; high sensitivity to WACC/g assumptions</t>
        </is>
      </c>
    </row>
    <row r="12" ht="36" customHeight="1">
      <c r="B12" s="169" t="inlineStr">
        <is>
          <t>Forward P/E (NTM)</t>
        </is>
      </c>
      <c r="C12" s="24" t="inlineStr">
        <is>
          <t>HIGH — most used by sell-side</t>
        </is>
      </c>
      <c r="D12" s="170" t="inlineStr">
        <is>
          <t>NTM P/E (FY2026E EPS)</t>
        </is>
      </c>
      <c r="E12" s="170" t="inlineStr">
        <is>
          <t>46.6x</t>
        </is>
      </c>
      <c r="F12" s="170" t="inlineStr">
        <is>
          <t>NVDA 29x; AVGO 36x</t>
        </is>
      </c>
      <c r="G12" s="170" t="inlineStr">
        <is>
          <t>~$575 (at 60x)</t>
        </is>
      </c>
      <c r="H12" s="171" t="inlineStr">
        <is>
          <t>25%</t>
        </is>
      </c>
      <c r="I12" s="24" t="inlineStr">
        <is>
          <t>PPA amortization distorts EPS; better for stable earners</t>
        </is>
      </c>
    </row>
    <row r="13" ht="36" customHeight="1">
      <c r="B13" s="166" t="inlineStr">
        <is>
          <t>EV/NTM EBITDA</t>
        </is>
      </c>
      <c r="C13" s="21" t="inlineStr">
        <is>
          <t>HIGH — removes PPA noise</t>
        </is>
      </c>
      <c r="D13" s="167" t="inlineStr">
        <is>
          <t>EV/EBITDA on FY2026E adj. EBITDA</t>
        </is>
      </c>
      <c r="E13" s="167" t="inlineStr">
        <is>
          <t>~57x</t>
        </is>
      </c>
      <c r="F13" s="167" t="inlineStr">
        <is>
          <t>NVDA 37x; AVGO 52x</t>
        </is>
      </c>
      <c r="G13" s="167" t="inlineStr">
        <is>
          <t>~$514 (at 37x)</t>
        </is>
      </c>
      <c r="H13" s="171" t="inlineStr">
        <is>
          <t>25%</t>
        </is>
      </c>
      <c r="I13" s="21" t="inlineStr">
        <is>
          <t>Requires adj. EBITDA; AMD premium reflects growth premium</t>
        </is>
      </c>
    </row>
    <row r="14" ht="36" customHeight="1">
      <c r="B14" s="169" t="inlineStr">
        <is>
          <t>EV/NTM Revenue</t>
        </is>
      </c>
      <c r="C14" s="24" t="inlineStr">
        <is>
          <t>MEDIUM — useful for high-growth</t>
        </is>
      </c>
      <c r="D14" s="170" t="inlineStr">
        <is>
          <t>EV/Sales on FY2026E revenue</t>
        </is>
      </c>
      <c r="E14" s="170" t="inlineStr">
        <is>
          <t>~14.6x</t>
        </is>
      </c>
      <c r="F14" s="170" t="inlineStr">
        <is>
          <t>NVDA 18x; AVGO 15x</t>
        </is>
      </c>
      <c r="G14" s="170" t="inlineStr">
        <is>
          <t>~$465 (at 15x)</t>
        </is>
      </c>
      <c r="H14" s="172" t="inlineStr">
        <is>
          <t>0%</t>
        </is>
      </c>
      <c r="I14" s="24" t="inlineStr">
        <is>
          <t>Less discriminating; does not reflect margin differences</t>
        </is>
      </c>
    </row>
    <row r="15" ht="36" customHeight="1">
      <c r="B15" s="166" t="inlineStr">
        <is>
          <t>PEG Ratio</t>
        </is>
      </c>
      <c r="C15" s="21" t="inlineStr">
        <is>
          <t>MEDIUM — growth-adjusted P/E</t>
        </is>
      </c>
      <c r="D15" s="167" t="inlineStr">
        <is>
          <t>P/E / Revenue CAGR</t>
        </is>
      </c>
      <c r="E15" s="167" t="inlineStr">
        <is>
          <t>~0.9x (forward)</t>
        </is>
      </c>
      <c r="F15" s="167" t="inlineStr">
        <is>
          <t>NVDA ~0.6x</t>
        </is>
      </c>
      <c r="G15" s="167" t="inlineStr">
        <is>
          <t>Range-bound $420–580</t>
        </is>
      </c>
      <c r="H15" s="172" t="inlineStr">
        <is>
          <t>0%</t>
        </is>
      </c>
      <c r="I15" s="21" t="inlineStr">
        <is>
          <t>Imprecise denominator; useful for directional check only</t>
        </is>
      </c>
    </row>
    <row r="16" ht="36" customHeight="1">
      <c r="B16" s="169" t="inlineStr">
        <is>
          <t>Comps — Mean/Median</t>
        </is>
      </c>
      <c r="C16" s="24" t="inlineStr">
        <is>
          <t>HIGH — market anchoring</t>
        </is>
      </c>
      <c r="D16" s="170" t="inlineStr">
        <is>
          <t>Blended NTM P/E + EV/EBITDA</t>
        </is>
      </c>
      <c r="E16" s="170" t="inlineStr">
        <is>
          <t>See above</t>
        </is>
      </c>
      <c r="F16" s="170" t="inlineStr">
        <is>
          <t>See above</t>
        </is>
      </c>
      <c r="G16" s="170" t="inlineStr">
        <is>
          <t>~$540 blended</t>
        </is>
      </c>
      <c r="H16" s="168" t="inlineStr">
        <is>
          <t>50% (within comps)</t>
        </is>
      </c>
      <c r="I16" s="24" t="inlineStr">
        <is>
          <t>Peer group imperfect; NVDA scale creates outlier distortion</t>
        </is>
      </c>
    </row>
    <row r="17" ht="36" customHeight="1">
      <c r="B17" s="166" t="inlineStr">
        <is>
          <t>52-Week High/Low</t>
        </is>
      </c>
      <c r="C17" s="21" t="inlineStr">
        <is>
          <t>LOW — technical only</t>
        </is>
      </c>
      <c r="D17" s="167" t="inlineStr">
        <is>
          <t>Stock price range</t>
        </is>
      </c>
      <c r="E17" s="167" t="inlineStr">
        <is>
          <t>$92 – $461 (52W)</t>
        </is>
      </c>
      <c r="F17" s="167" t="inlineStr">
        <is>
          <t>N/A</t>
        </is>
      </c>
      <c r="G17" s="167" t="inlineStr">
        <is>
          <t>N/A</t>
        </is>
      </c>
      <c r="H17" s="172" t="inlineStr">
        <is>
          <t>0%</t>
        </is>
      </c>
      <c r="I17" s="21" t="inlineStr">
        <is>
          <t>No fundamental relevance; only as psychological level check</t>
        </is>
      </c>
    </row>
    <row r="18"/>
    <row r="19"/>
    <row r="20" ht="22" customHeight="1">
      <c r="B20" s="4" t="inlineStr">
        <is>
          <t>DCF MODEL ASSUMPTIONS — DETAILED RATIONALE</t>
        </is>
      </c>
    </row>
    <row r="21" ht="22" customHeight="1">
      <c r="B21" s="7" t="inlineStr">
        <is>
          <t>Category</t>
        </is>
      </c>
      <c r="C21" s="7" t="inlineStr">
        <is>
          <t>Assumption</t>
        </is>
      </c>
      <c r="D21" s="7" t="inlineStr">
        <is>
          <t>Value</t>
        </is>
      </c>
      <c r="E21" s="7" t="inlineStr">
        <is>
          <t>Bull Case</t>
        </is>
      </c>
      <c r="F21" s="7" t="inlineStr">
        <is>
          <t>Bear Case</t>
        </is>
      </c>
      <c r="G21" s="7" t="inlineStr">
        <is>
          <t>Source / Rationale</t>
        </is>
      </c>
    </row>
    <row r="22" ht="28" customHeight="1">
      <c r="B22" s="173" t="inlineStr">
        <is>
          <t>WACC</t>
        </is>
      </c>
      <c r="C22" s="82" t="inlineStr">
        <is>
          <t>Risk-Free Rate (Rf)</t>
        </is>
      </c>
      <c r="D22" s="174" t="inlineStr">
        <is>
          <t>4.42%</t>
        </is>
      </c>
      <c r="E22" s="175" t="inlineStr">
        <is>
          <t>4.0%</t>
        </is>
      </c>
      <c r="F22" s="176" t="inlineStr">
        <is>
          <t>5.0%</t>
        </is>
      </c>
      <c r="G22" s="24" t="inlineStr">
        <is>
          <t>US 10-Year Treasury yield as of May 2026; AlphaSpread</t>
        </is>
      </c>
    </row>
    <row r="23" ht="28" customHeight="1">
      <c r="B23" s="173" t="inlineStr">
        <is>
          <t>WACC</t>
        </is>
      </c>
      <c r="C23" s="82" t="inlineStr">
        <is>
          <t>Equity Risk Premium (ERP)</t>
        </is>
      </c>
      <c r="D23" s="174" t="inlineStr">
        <is>
          <t>5.18%</t>
        </is>
      </c>
      <c r="E23" s="175" t="inlineStr">
        <is>
          <t>4.5%</t>
        </is>
      </c>
      <c r="F23" s="176" t="inlineStr">
        <is>
          <t>6.0%</t>
        </is>
      </c>
      <c r="G23" s="24" t="inlineStr">
        <is>
          <t>Damodaran January 2026 US ERP; reflects tech premium</t>
        </is>
      </c>
    </row>
    <row r="24" ht="28" customHeight="1">
      <c r="B24" s="173" t="inlineStr">
        <is>
          <t>WACC</t>
        </is>
      </c>
      <c r="C24" s="82" t="inlineStr">
        <is>
          <t>Beta (5Y weekly vs. S&amp;P 500)</t>
        </is>
      </c>
      <c r="D24" s="174" t="inlineStr">
        <is>
          <t>1.23x</t>
        </is>
      </c>
      <c r="E24" s="175" t="inlineStr">
        <is>
          <t>1.10x</t>
        </is>
      </c>
      <c r="F24" s="176" t="inlineStr">
        <is>
          <t>1.40x</t>
        </is>
      </c>
      <c r="G24" s="24" t="inlineStr">
        <is>
          <t>Published beta; semiconductor beta typical 1.1-1.5x</t>
        </is>
      </c>
    </row>
    <row r="25" ht="28" customHeight="1">
      <c r="B25" s="173" t="inlineStr">
        <is>
          <t>WACC</t>
        </is>
      </c>
      <c r="C25" s="82" t="inlineStr">
        <is>
          <t>Cost of Equity (Ke)</t>
        </is>
      </c>
      <c r="D25" s="174" t="inlineStr">
        <is>
          <t>10.8%</t>
        </is>
      </c>
      <c r="E25" s="175" t="inlineStr">
        <is>
          <t>8.9%</t>
        </is>
      </c>
      <c r="F25" s="176" t="inlineStr">
        <is>
          <t>13.4%</t>
        </is>
      </c>
      <c r="G25" s="24" t="inlineStr">
        <is>
          <t>Ke = Rf + Beta × ERP = 4.42% + 1.23 × 5.18%</t>
        </is>
      </c>
    </row>
    <row r="26" ht="28" customHeight="1">
      <c r="B26" s="173" t="inlineStr">
        <is>
          <t>WACC</t>
        </is>
      </c>
      <c r="C26" s="82" t="inlineStr">
        <is>
          <t>Pre-Tax Cost of Debt (Kd)</t>
        </is>
      </c>
      <c r="D26" s="174" t="inlineStr">
        <is>
          <t>5.18%</t>
        </is>
      </c>
      <c r="E26" s="175" t="inlineStr">
        <is>
          <t>4.5%</t>
        </is>
      </c>
      <c r="F26" s="176" t="inlineStr">
        <is>
          <t>6.0%</t>
        </is>
      </c>
      <c r="G26" s="24" t="inlineStr">
        <is>
          <t>Blended rate on AMD notes: 2.375% 2030, 2.95% 2024 (retired), ~5.5% new issuance</t>
        </is>
      </c>
    </row>
    <row r="27" ht="28" customHeight="1">
      <c r="B27" s="173" t="inlineStr">
        <is>
          <t>WACC</t>
        </is>
      </c>
      <c r="C27" s="82" t="inlineStr">
        <is>
          <t>Effective Tax Rate</t>
        </is>
      </c>
      <c r="D27" s="174" t="inlineStr">
        <is>
          <t>26.7%</t>
        </is>
      </c>
      <c r="E27" s="175" t="inlineStr">
        <is>
          <t>24%</t>
        </is>
      </c>
      <c r="F27" s="176" t="inlineStr">
        <is>
          <t>29%</t>
        </is>
      </c>
      <c r="G27" s="24" t="inlineStr">
        <is>
          <t>FY2025 non-GAAP tax rate; Xilinx integration benefits tapering</t>
        </is>
      </c>
    </row>
    <row r="28" ht="28" customHeight="1">
      <c r="B28" s="173" t="inlineStr">
        <is>
          <t>WACC</t>
        </is>
      </c>
      <c r="C28" s="82" t="inlineStr">
        <is>
          <t>After-Tax Cost of Debt</t>
        </is>
      </c>
      <c r="D28" s="174" t="inlineStr">
        <is>
          <t>3.8%</t>
        </is>
      </c>
      <c r="E28" s="175" t="inlineStr">
        <is>
          <t>3.4%</t>
        </is>
      </c>
      <c r="F28" s="176" t="inlineStr">
        <is>
          <t>4.3%</t>
        </is>
      </c>
      <c r="G28" s="24" t="inlineStr">
        <is>
          <t>Kd × (1 – Tax Rate) = 5.18% × (1 – 26.7%)</t>
        </is>
      </c>
    </row>
    <row r="29" ht="28" customHeight="1">
      <c r="B29" s="173" t="inlineStr">
        <is>
          <t>WACC</t>
        </is>
      </c>
      <c r="C29" s="82" t="inlineStr">
        <is>
          <t>Equity Weight (E/V)</t>
        </is>
      </c>
      <c r="D29" s="174" t="inlineStr">
        <is>
          <t>99.4%</t>
        </is>
      </c>
      <c r="E29" s="175" t="inlineStr">
        <is>
          <t>98%</t>
        </is>
      </c>
      <c r="F29" s="176" t="inlineStr">
        <is>
          <t>95%</t>
        </is>
      </c>
      <c r="G29" s="24" t="inlineStr">
        <is>
          <t>Market cap $726B vs. enterprise value ~$721B; near-zero leverage</t>
        </is>
      </c>
    </row>
    <row r="30" ht="28" customHeight="1">
      <c r="B30" s="173" t="inlineStr">
        <is>
          <t>WACC</t>
        </is>
      </c>
      <c r="C30" s="82" t="inlineStr">
        <is>
          <t>Debt Weight (D/V)</t>
        </is>
      </c>
      <c r="D30" s="174" t="inlineStr">
        <is>
          <t>0.6%</t>
        </is>
      </c>
      <c r="E30" s="175" t="inlineStr">
        <is>
          <t>2%</t>
        </is>
      </c>
      <c r="F30" s="176" t="inlineStr">
        <is>
          <t>5%</t>
        </is>
      </c>
      <c r="G30" s="24" t="inlineStr">
        <is>
          <t>Total debt $4.5B; AMD is effectively unlevered</t>
        </is>
      </c>
    </row>
    <row r="31" ht="28" customHeight="1">
      <c r="B31" s="173" t="inlineStr">
        <is>
          <t>WACC</t>
        </is>
      </c>
      <c r="C31" s="82" t="inlineStr">
        <is>
          <t>WACC</t>
        </is>
      </c>
      <c r="D31" s="174" t="inlineStr">
        <is>
          <t>9.54%</t>
        </is>
      </c>
      <c r="E31" s="175" t="inlineStr">
        <is>
          <t>8.5%</t>
        </is>
      </c>
      <c r="F31" s="176" t="inlineStr">
        <is>
          <t>11.5%</t>
        </is>
      </c>
      <c r="G31" s="24" t="inlineStr">
        <is>
          <t>AlphaSpread: 9.54%; weighted by near-100% equity weight</t>
        </is>
      </c>
    </row>
    <row r="32" ht="28" customHeight="1">
      <c r="B32" s="26" t="inlineStr">
        <is>
          <t>Revenue</t>
        </is>
      </c>
      <c r="C32" s="90" t="inlineStr">
        <is>
          <t>FY2026E Total Revenue</t>
        </is>
      </c>
      <c r="D32" s="174" t="inlineStr">
        <is>
          <t>$49.3B</t>
        </is>
      </c>
      <c r="E32" s="175" t="inlineStr">
        <is>
          <t>$56.4B</t>
        </is>
      </c>
      <c r="F32" s="176" t="inlineStr">
        <is>
          <t>$40.0B</t>
        </is>
      </c>
      <c r="G32" s="24" t="inlineStr">
        <is>
          <t>FactSet/Visible Alpha consensus; S&amp;P Global forecast $28.7B Data Center</t>
        </is>
      </c>
    </row>
    <row r="33" ht="28" customHeight="1">
      <c r="B33" s="26" t="inlineStr">
        <is>
          <t>Revenue</t>
        </is>
      </c>
      <c r="C33" s="90" t="inlineStr">
        <is>
          <t>FY2027E Total Revenue</t>
        </is>
      </c>
      <c r="D33" s="174" t="inlineStr">
        <is>
          <t>$75.1B</t>
        </is>
      </c>
      <c r="E33" s="175" t="inlineStr">
        <is>
          <t>$97.9B</t>
        </is>
      </c>
      <c r="F33" s="176" t="inlineStr">
        <is>
          <t>$55.9B</t>
        </is>
      </c>
      <c r="G33" s="24" t="inlineStr">
        <is>
          <t>FactSet consensus; AMD management &gt;35% CAGR guidance</t>
        </is>
      </c>
    </row>
    <row r="34" ht="28" customHeight="1">
      <c r="B34" s="26" t="inlineStr">
        <is>
          <t>Revenue</t>
        </is>
      </c>
      <c r="C34" s="90" t="inlineStr">
        <is>
          <t>FY2028E Total Revenue</t>
        </is>
      </c>
      <c r="D34" s="174" t="inlineStr">
        <is>
          <t>$101.1B</t>
        </is>
      </c>
      <c r="E34" s="175" t="inlineStr">
        <is>
          <t>$133.7B</t>
        </is>
      </c>
      <c r="F34" s="176" t="inlineStr">
        <is>
          <t>$73.9B</t>
        </is>
      </c>
      <c r="G34" s="24" t="inlineStr">
        <is>
          <t>Visible Alpha consensus; extrapolated from mgmt 80% AI CAGR target</t>
        </is>
      </c>
    </row>
    <row r="35" ht="28" customHeight="1">
      <c r="B35" s="26" t="inlineStr">
        <is>
          <t>Revenue</t>
        </is>
      </c>
      <c r="C35" s="90" t="inlineStr">
        <is>
          <t>FY2029E Total Revenue</t>
        </is>
      </c>
      <c r="D35" s="174" t="inlineStr">
        <is>
          <t>$128.3B</t>
        </is>
      </c>
      <c r="E35" s="175" t="inlineStr">
        <is>
          <t>$170.0B</t>
        </is>
      </c>
      <c r="F35" s="176" t="inlineStr">
        <is>
          <t>$89.0B</t>
        </is>
      </c>
      <c r="G35" s="24" t="inlineStr">
        <is>
          <t>Analyst model; assumes AI GPU share continues gaining</t>
        </is>
      </c>
    </row>
    <row r="36" ht="28" customHeight="1">
      <c r="B36" s="26" t="inlineStr">
        <is>
          <t>Revenue</t>
        </is>
      </c>
      <c r="C36" s="90" t="inlineStr">
        <is>
          <t>FY2030E Total Revenue</t>
        </is>
      </c>
      <c r="D36" s="174" t="inlineStr">
        <is>
          <t>$150.0B</t>
        </is>
      </c>
      <c r="E36" s="175" t="inlineStr">
        <is>
          <t>$200.0B</t>
        </is>
      </c>
      <c r="F36" s="176" t="inlineStr">
        <is>
          <t>$100.0B</t>
        </is>
      </c>
      <c r="G36" s="24" t="inlineStr">
        <is>
          <t>Conservative vs. AMD $500B AI TAM by 2028 claim; terminal year</t>
        </is>
      </c>
    </row>
    <row r="37" ht="28" customHeight="1">
      <c r="B37" s="177" t="inlineStr">
        <is>
          <t>Margins</t>
        </is>
      </c>
      <c r="C37" s="151" t="inlineStr">
        <is>
          <t>Adj. EBITDA Margin FY2026E</t>
        </is>
      </c>
      <c r="D37" s="174" t="inlineStr">
        <is>
          <t>25.8%</t>
        </is>
      </c>
      <c r="E37" s="175" t="inlineStr">
        <is>
          <t>26.2%</t>
        </is>
      </c>
      <c r="F37" s="176" t="inlineStr">
        <is>
          <t>23.0%</t>
        </is>
      </c>
      <c r="G37" s="24" t="inlineStr">
        <is>
          <t>FactSet consensus; Data Center mix &gt;60% improves margin</t>
        </is>
      </c>
    </row>
    <row r="38" ht="28" customHeight="1">
      <c r="B38" s="177" t="inlineStr">
        <is>
          <t>Margins</t>
        </is>
      </c>
      <c r="C38" s="151" t="inlineStr">
        <is>
          <t>Adj. EBITDA Margin FY2027E</t>
        </is>
      </c>
      <c r="D38" s="174" t="inlineStr">
        <is>
          <t>31.7%</t>
        </is>
      </c>
      <c r="E38" s="175" t="inlineStr">
        <is>
          <t>31.5%</t>
        </is>
      </c>
      <c r="F38" s="176" t="inlineStr">
        <is>
          <t>28.6%</t>
        </is>
      </c>
      <c r="G38" s="24" t="inlineStr">
        <is>
          <t>Operating leverage on R&amp;D base; approaching NVDA trajectory</t>
        </is>
      </c>
    </row>
    <row r="39" ht="28" customHeight="1">
      <c r="B39" s="177" t="inlineStr">
        <is>
          <t>Margins</t>
        </is>
      </c>
      <c r="C39" s="151" t="inlineStr">
        <is>
          <t>Adj. EBITDA Margin FY2028E</t>
        </is>
      </c>
      <c r="D39" s="174" t="inlineStr">
        <is>
          <t>34.5%</t>
        </is>
      </c>
      <c r="E39" s="175" t="inlineStr">
        <is>
          <t>35.0%</t>
        </is>
      </c>
      <c r="F39" s="176" t="inlineStr">
        <is>
          <t>29.8%</t>
        </is>
      </c>
      <c r="G39" s="24" t="inlineStr">
        <is>
          <t>FactSet consensus; R&amp;D/Revenue falls as scale grows</t>
        </is>
      </c>
    </row>
    <row r="40" ht="28" customHeight="1">
      <c r="B40" s="177" t="inlineStr">
        <is>
          <t>Margins</t>
        </is>
      </c>
      <c r="C40" s="151" t="inlineStr">
        <is>
          <t>Adj. EBITDA Margin FY2030E (terminal)</t>
        </is>
      </c>
      <c r="D40" s="174" t="inlineStr">
        <is>
          <t>35.0%</t>
        </is>
      </c>
      <c r="E40" s="175" t="inlineStr">
        <is>
          <t>38.0%</t>
        </is>
      </c>
      <c r="F40" s="176" t="inlineStr">
        <is>
          <t>28.0%</t>
        </is>
      </c>
      <c r="G40" s="24" t="inlineStr">
        <is>
          <t>Conservative terminal margin; NVDA at 71% gross / 60% op margin</t>
        </is>
      </c>
    </row>
    <row r="41" ht="28" customHeight="1">
      <c r="B41" s="177" t="inlineStr">
        <is>
          <t>Margins</t>
        </is>
      </c>
      <c r="C41" s="151" t="inlineStr">
        <is>
          <t>Gross Margin FY2026E (Non-GAAP)</t>
        </is>
      </c>
      <c r="D41" s="174" t="inlineStr">
        <is>
          <t>55.5%</t>
        </is>
      </c>
      <c r="E41" s="175" t="inlineStr">
        <is>
          <t>56.5%</t>
        </is>
      </c>
      <c r="F41" s="176" t="inlineStr">
        <is>
          <t>53.0%</t>
        </is>
      </c>
      <c r="G41" s="24" t="inlineStr">
        <is>
          <t>AMD Q2 2026 guidance of ~56%; Data Center mix enrichment</t>
        </is>
      </c>
    </row>
    <row r="42" ht="28" customHeight="1">
      <c r="B42" s="25" t="inlineStr">
        <is>
          <t>Working Capital</t>
        </is>
      </c>
      <c r="C42" s="104" t="inlineStr">
        <is>
          <t>DSO (Days Sales Outstanding)</t>
        </is>
      </c>
      <c r="D42" s="174" t="inlineStr">
        <is>
          <t>34 days</t>
        </is>
      </c>
      <c r="E42" s="175" t="inlineStr">
        <is>
          <t>32 days</t>
        </is>
      </c>
      <c r="F42" s="176" t="inlineStr">
        <is>
          <t>38 days</t>
        </is>
      </c>
      <c r="G42" s="24" t="inlineStr">
        <is>
          <t>FY2024A DSO = 33.9 days; target stable or improving</t>
        </is>
      </c>
    </row>
    <row r="43" ht="28" customHeight="1">
      <c r="B43" s="25" t="inlineStr">
        <is>
          <t>Working Capital</t>
        </is>
      </c>
      <c r="C43" s="104" t="inlineStr">
        <is>
          <t>DIO (Days Inventory Outstanding)</t>
        </is>
      </c>
      <c r="D43" s="174" t="inlineStr">
        <is>
          <t>55 days</t>
        </is>
      </c>
      <c r="E43" s="175" t="inlineStr">
        <is>
          <t>50 days</t>
        </is>
      </c>
      <c r="F43" s="176" t="inlineStr">
        <is>
          <t>65 days</t>
        </is>
      </c>
      <c r="G43" s="24" t="inlineStr">
        <is>
          <t>FY2024A inventory days ~50; watch for build during GPU ramp</t>
        </is>
      </c>
    </row>
    <row r="44" ht="28" customHeight="1">
      <c r="B44" s="25" t="inlineStr">
        <is>
          <t>Working Capital</t>
        </is>
      </c>
      <c r="C44" s="104" t="inlineStr">
        <is>
          <t>DPO (Days Payable Outstanding)</t>
        </is>
      </c>
      <c r="D44" s="174" t="inlineStr">
        <is>
          <t>26 days</t>
        </is>
      </c>
      <c r="E44" s="175" t="inlineStr">
        <is>
          <t>28 days</t>
        </is>
      </c>
      <c r="F44" s="176" t="inlineStr">
        <is>
          <t>22 days</t>
        </is>
      </c>
      <c r="G44" s="24" t="inlineStr">
        <is>
          <t>AMD pays TSMC and suppliers promptly; terms improving at scale</t>
        </is>
      </c>
    </row>
    <row r="45" ht="28" customHeight="1">
      <c r="B45" s="25" t="inlineStr">
        <is>
          <t>Working Capital</t>
        </is>
      </c>
      <c r="C45" s="104" t="inlineStr">
        <is>
          <t>NWC Change as % of Revenue Change</t>
        </is>
      </c>
      <c r="D45" s="174" t="inlineStr">
        <is>
          <t>~10%</t>
        </is>
      </c>
      <c r="E45" s="175" t="inlineStr">
        <is>
          <t>8%</t>
        </is>
      </c>
      <c r="F45" s="176" t="inlineStr">
        <is>
          <t>15%</t>
        </is>
      </c>
      <c r="G45" s="24" t="inlineStr">
        <is>
          <t>Working capital absorbs ~10% of incremental revenue; high-growth mode</t>
        </is>
      </c>
    </row>
    <row r="46" ht="28" customHeight="1">
      <c r="B46" s="23" t="inlineStr">
        <is>
          <t>CapEx</t>
        </is>
      </c>
      <c r="C46" s="178" t="inlineStr">
        <is>
          <t>CapEx as % of Revenue FY2026E</t>
        </is>
      </c>
      <c r="D46" s="174" t="inlineStr">
        <is>
          <t>4.0%</t>
        </is>
      </c>
      <c r="E46" s="175" t="inlineStr">
        <is>
          <t>3.5%</t>
        </is>
      </c>
      <c r="F46" s="176" t="inlineStr">
        <is>
          <t>5.0%</t>
        </is>
      </c>
      <c r="G46" s="24" t="inlineStr">
        <is>
          <t>AMD is fabless; CapEx is IT, equipment, leasehold improvements; FY2025A = 2.8%</t>
        </is>
      </c>
    </row>
    <row r="47" ht="28" customHeight="1">
      <c r="B47" s="23" t="inlineStr">
        <is>
          <t>CapEx</t>
        </is>
      </c>
      <c r="C47" s="178" t="inlineStr">
        <is>
          <t>CapEx as % of Revenue FY2027-2030E</t>
        </is>
      </c>
      <c r="D47" s="174" t="inlineStr">
        <is>
          <t>4.0%</t>
        </is>
      </c>
      <c r="E47" s="175" t="inlineStr">
        <is>
          <t>3.5%</t>
        </is>
      </c>
      <c r="F47" s="176" t="inlineStr">
        <is>
          <t>5.0%</t>
        </is>
      </c>
      <c r="G47" s="24" t="inlineStr">
        <is>
          <t>Slight increase for AI hardware, data center tools, engineering expansion</t>
        </is>
      </c>
    </row>
    <row r="48" ht="28" customHeight="1">
      <c r="B48" s="23" t="inlineStr">
        <is>
          <t>CapEx</t>
        </is>
      </c>
      <c r="C48" s="178" t="inlineStr">
        <is>
          <t>D&amp;A as % of Revenue</t>
        </is>
      </c>
      <c r="D48" s="174" t="inlineStr">
        <is>
          <t>~15%</t>
        </is>
      </c>
      <c r="E48" s="175" t="inlineStr">
        <is>
          <t>12%</t>
        </is>
      </c>
      <c r="F48" s="176" t="inlineStr">
        <is>
          <t>18%</t>
        </is>
      </c>
      <c r="G48" s="24" t="inlineStr">
        <is>
          <t>Includes PPA amortization (~$2.8B/yr); tapers post-2029 as Xilinx intangibles fully amortized</t>
        </is>
      </c>
    </row>
    <row r="49" ht="28" customHeight="1">
      <c r="B49" s="95" t="inlineStr">
        <is>
          <t>Terminal Value</t>
        </is>
      </c>
      <c r="C49" s="96" t="inlineStr">
        <is>
          <t>Terminal Growth Rate (g)</t>
        </is>
      </c>
      <c r="D49" s="174" t="inlineStr">
        <is>
          <t>3.0%</t>
        </is>
      </c>
      <c r="E49" s="175" t="inlineStr">
        <is>
          <t>3.5%</t>
        </is>
      </c>
      <c r="F49" s="176" t="inlineStr">
        <is>
          <t>2.0%</t>
        </is>
      </c>
      <c r="G49" s="24" t="inlineStr">
        <is>
          <t>US nominal GDP growth floor; conservative for AI-levered company</t>
        </is>
      </c>
    </row>
    <row r="50" ht="28" customHeight="1">
      <c r="B50" s="95" t="inlineStr">
        <is>
          <t>Terminal Value</t>
        </is>
      </c>
      <c r="C50" s="96" t="inlineStr">
        <is>
          <t>Exit EV/EBITDA Multiple (cross-check)</t>
        </is>
      </c>
      <c r="D50" s="174" t="inlineStr">
        <is>
          <t>25.0x</t>
        </is>
      </c>
      <c r="E50" s="175" t="inlineStr">
        <is>
          <t>30.0x</t>
        </is>
      </c>
      <c r="F50" s="176" t="inlineStr">
        <is>
          <t>18.0x</t>
        </is>
      </c>
      <c r="G50" s="24" t="inlineStr">
        <is>
          <t>Below current AMD NTM EV/EBITDA (~57x); assumes normalization; NVDA LT median ~35x</t>
        </is>
      </c>
    </row>
    <row r="51" ht="28" customHeight="1">
      <c r="B51" s="95" t="inlineStr">
        <is>
          <t>Terminal Value</t>
        </is>
      </c>
      <c r="C51" s="96" t="inlineStr">
        <is>
          <t>TV as % of Enterprise Value</t>
        </is>
      </c>
      <c r="D51" s="174" t="inlineStr">
        <is>
          <t>~65%</t>
        </is>
      </c>
      <c r="E51" s="175" t="inlineStr">
        <is>
          <t>&lt;70%</t>
        </is>
      </c>
      <c r="F51" s="176" t="inlineStr">
        <is>
          <t>&lt;75%</t>
        </is>
      </c>
      <c r="G51" s="24" t="inlineStr">
        <is>
          <t>Quality gate: TV should be &lt;75% of EV; check against exit multiple method</t>
        </is>
      </c>
    </row>
    <row r="52" ht="28" customHeight="1">
      <c r="B52" s="173" t="inlineStr">
        <is>
          <t>Tax</t>
        </is>
      </c>
      <c r="C52" s="82" t="inlineStr">
        <is>
          <t>Effective Tax Rate (Projections)</t>
        </is>
      </c>
      <c r="D52" s="174" t="inlineStr">
        <is>
          <t>26.7%</t>
        </is>
      </c>
      <c r="E52" s="175" t="inlineStr">
        <is>
          <t>24.0%</t>
        </is>
      </c>
      <c r="F52" s="176" t="inlineStr">
        <is>
          <t>29.0%</t>
        </is>
      </c>
      <c r="G52" s="24" t="inlineStr">
        <is>
          <t>FY2025 non-GAAP rate; long-run rate approaching statutory 21% + state + international blend</t>
        </is>
      </c>
    </row>
    <row r="53" ht="28" customHeight="1">
      <c r="B53" s="179" t="inlineStr">
        <is>
          <t>Capital Structure</t>
        </is>
      </c>
      <c r="C53" s="180" t="inlineStr">
        <is>
          <t>Diluted Shares Outstanding (M)</t>
        </is>
      </c>
      <c r="D53" s="174" t="inlineStr">
        <is>
          <t>1,633M</t>
        </is>
      </c>
      <c r="E53" s="175" t="inlineStr">
        <is>
          <t>1,610M</t>
        </is>
      </c>
      <c r="F53" s="176" t="inlineStr">
        <is>
          <t>1,650M</t>
        </is>
      </c>
      <c r="G53" s="24" t="inlineStr">
        <is>
          <t>FY2025A = 1,632M; net of buybacks vs. SBC dilution; ~$1.1B buyback FY2025A</t>
        </is>
      </c>
    </row>
    <row r="54" ht="28" customHeight="1">
      <c r="B54" s="179" t="inlineStr">
        <is>
          <t>Capital Structure</t>
        </is>
      </c>
      <c r="C54" s="180" t="inlineStr">
        <is>
          <t>Net Cash (Debt) at Initiation</t>
        </is>
      </c>
      <c r="D54" s="174" t="inlineStr">
        <is>
          <t>+$1.1B</t>
        </is>
      </c>
      <c r="E54" s="175" t="inlineStr">
        <is>
          <t>+$3.0B</t>
        </is>
      </c>
      <c r="F54" s="176" t="inlineStr">
        <is>
          <t>-$0.5B</t>
        </is>
      </c>
      <c r="G54" s="24" t="inlineStr">
        <is>
          <t>Cash $5.5B minus Total Debt $4.5B = net cash $1.1B (May 2026)</t>
        </is>
      </c>
    </row>
    <row r="55"/>
    <row r="56">
      <c r="B56" s="27" t="inlineStr">
        <is>
          <t>Sources: AMD 10-K FY2025, AMD Q1 2026 press release, AlphaSpread WACC, GuruFocus WACC, Damodaran NYU January 2026 ERP table, S&amp;P Global Visible Alpha consensus, FactSet, company management guidance.</t>
        </is>
      </c>
    </row>
  </sheetData>
  <mergeCells count="8">
    <mergeCell ref="B20:Q20"/>
    <mergeCell ref="B9:Q9"/>
    <mergeCell ref="B56:Q56"/>
    <mergeCell ref="B4:Q4"/>
    <mergeCell ref="B6:Q6"/>
    <mergeCell ref="B2:Q2"/>
    <mergeCell ref="B7:Q7"/>
    <mergeCell ref="B5:Q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2026-05-13T21:14:00Z</dcterms:created>
  <dcterms:modified xmlns:dcterms="http://purl.org/dc/terms/" xmlns:xsi="http://www.w3.org/2001/XMLSchema-instance" xsi:type="dcterms:W3CDTF">2026-05-13T21:28:33Z</dcterms:modified>
</cp:coreProperties>
</file>