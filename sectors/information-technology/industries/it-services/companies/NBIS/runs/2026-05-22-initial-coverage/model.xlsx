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DCF Model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Comps Table" sheetId="7" state="visible" r:id="rId7"/>
    <sheet xmlns:r="http://schemas.openxmlformats.org/officeDocument/2006/relationships" name="Thesis Tracker" sheetId="8" state="visible" r:id="rId8"/>
    <sheet xmlns:r="http://schemas.openxmlformats.org/officeDocument/2006/relationships" name="DCF Assumptions" sheetId="9" state="visible" r:id="rId9"/>
    <sheet xmlns:r="http://schemas.openxmlformats.org/officeDocument/2006/relationships" name="Cash F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374151"/>
      <sz val="9"/>
    </font>
    <font>
      <name val="Calibri"/>
      <b val="1"/>
      <color rgb="0010B981"/>
      <sz val="9"/>
    </font>
    <font>
      <name val="Calibri"/>
      <b val="1"/>
      <color rgb="00FFFFFF"/>
      <sz val="9"/>
    </font>
    <font>
      <name val="Calibri"/>
      <color rgb="00EF4444"/>
      <sz val="9"/>
    </font>
    <font>
      <name val="Calibri"/>
      <b val="1"/>
      <color rgb="00FFFFFF"/>
      <sz val="12"/>
    </font>
    <font>
      <name val="Calibri"/>
      <color rgb="006B7280"/>
      <sz val="9"/>
    </font>
    <font>
      <name val="Calibri"/>
      <b val="1"/>
      <color rgb="00374151"/>
      <sz val="9"/>
    </font>
    <font>
      <name val="Calibri"/>
      <b val="1"/>
      <color rgb="00FFFFFF"/>
      <sz val="8"/>
    </font>
    <font>
      <name val="Calibri"/>
      <color rgb="00374151"/>
      <sz val="8"/>
    </font>
    <font>
      <name val="Calibri"/>
      <b val="1"/>
      <color rgb="00EF4444"/>
      <sz val="9"/>
    </font>
    <font>
      <name val="Calibri"/>
      <i val="1"/>
      <color rgb="00374151"/>
      <sz val="9"/>
    </font>
    <font>
      <name val="Calibri"/>
      <i val="1"/>
      <color rgb="006B7280"/>
      <sz val="8"/>
    </font>
    <font>
      <name val="Calibri"/>
      <color rgb="00FFFFFF"/>
      <sz val="9"/>
    </font>
    <font>
      <name val="Calibri"/>
      <color rgb="0010B981"/>
      <sz val="9"/>
    </font>
    <font>
      <name val="Calibri"/>
      <b val="1"/>
      <color rgb="00FFFFFF"/>
      <sz val="13"/>
    </font>
    <font>
      <name val="Calibri"/>
      <b val="1"/>
      <color rgb="00F59E0B"/>
      <sz val="9"/>
    </font>
    <font>
      <name val="Calibri"/>
      <color rgb="00F59E0B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right" vertical="center"/>
    </xf>
    <xf numFmtId="0" fontId="9" fillId="0" borderId="1" pivotButton="0" quotePrefix="0" xfId="0"/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3" fontId="12" fillId="5" borderId="1" applyAlignment="1" pivotButton="0" quotePrefix="0" xfId="0">
      <alignment horizontal="right"/>
    </xf>
    <xf numFmtId="3" fontId="12" fillId="5" borderId="0" applyAlignment="1" pivotButton="0" quotePrefix="0" xfId="0">
      <alignment horizontal="right"/>
    </xf>
    <xf numFmtId="0" fontId="12" fillId="5" borderId="1" applyAlignment="1" pivotButton="0" quotePrefix="0" xfId="0">
      <alignment horizontal="right"/>
    </xf>
    <xf numFmtId="0" fontId="12" fillId="5" borderId="0" applyAlignment="1" pivotButton="0" quotePrefix="0" xfId="0">
      <alignment horizontal="right"/>
    </xf>
    <xf numFmtId="0" fontId="6" fillId="2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64" fontId="10" fillId="6" borderId="0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5" borderId="1" applyAlignment="1" pivotButton="0" quotePrefix="0" xfId="0">
      <alignment horizontal="right"/>
    </xf>
    <xf numFmtId="0" fontId="15" fillId="5" borderId="1" applyAlignment="1" pivotButton="0" quotePrefix="0" xfId="0">
      <alignment horizontal="left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4" fontId="10" fillId="9" borderId="1" applyAlignment="1" pivotButton="0" quotePrefix="0" xfId="0">
      <alignment horizontal="right"/>
    </xf>
    <xf numFmtId="165" fontId="13" fillId="9" borderId="1" applyAlignment="1" pivotButton="0" quotePrefix="0" xfId="0">
      <alignment horizontal="right"/>
    </xf>
    <xf numFmtId="166" fontId="4" fillId="10" borderId="1" applyAlignment="1" pivotButton="0" quotePrefix="0" xfId="0">
      <alignment horizontal="center"/>
    </xf>
    <xf numFmtId="166" fontId="6" fillId="9" borderId="1" applyAlignment="1" pivotButton="0" quotePrefix="0" xfId="0">
      <alignment horizontal="center"/>
    </xf>
    <xf numFmtId="166" fontId="1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166" fontId="10" fillId="5" borderId="1" applyAlignment="1" pivotButton="0" quotePrefix="0" xfId="0">
      <alignment horizontal="center"/>
    </xf>
    <xf numFmtId="165" fontId="17" fillId="11" borderId="1" applyAlignment="1" pivotButton="0" quotePrefix="0" xfId="0">
      <alignment horizontal="center"/>
    </xf>
    <xf numFmtId="165" fontId="7" fillId="1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6" fillId="3" borderId="1" pivotButton="0" quotePrefix="0" xfId="0"/>
    <xf numFmtId="0" fontId="14" fillId="0" borderId="0" applyAlignment="1" pivotButton="0" quotePrefix="0" xfId="0">
      <alignment wrapText="1"/>
    </xf>
    <xf numFmtId="0" fontId="18" fillId="2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top" wrapText="1"/>
    </xf>
    <xf numFmtId="0" fontId="20" fillId="9" borderId="1" applyAlignment="1" pivotButton="0" quotePrefix="0" xfId="0">
      <alignment horizontal="center" vertical="top" wrapText="1"/>
    </xf>
    <xf numFmtId="0" fontId="20" fillId="9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9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34" customHeight="1">
      <c r="B2" s="1" t="inlineStr">
        <is>
          <t>NEBIUS GROUP N.V. (NASDAQ: NBIS) — INITIATING COVERAGE</t>
        </is>
      </c>
    </row>
    <row r="3">
      <c r="B3" s="2" t="inlineStr">
        <is>
          <t>As of May 22, 2026 | All figures in USD Millions | Fiscal Year Ending December 31</t>
        </is>
      </c>
    </row>
    <row r="5">
      <c r="B5" s="3" t="inlineStr">
        <is>
          <t>STOCK DATA</t>
        </is>
      </c>
      <c r="F5" s="3" t="inlineStr">
        <is>
          <t>VALUATION SNAPSHOT</t>
        </is>
      </c>
      <c r="J5" s="3" t="inlineStr">
        <is>
          <t>RATING &amp; PRICE TARGET</t>
        </is>
      </c>
    </row>
    <row r="6" ht="17" customHeight="1">
      <c r="B6" s="4" t="inlineStr">
        <is>
          <t>Current Price</t>
        </is>
      </c>
      <c r="C6" s="5" t="inlineStr">
        <is>
          <t>$216.24</t>
        </is>
      </c>
      <c r="F6" s="4" t="inlineStr">
        <is>
          <t>EV/2026E Revenue</t>
        </is>
      </c>
      <c r="G6" s="5" t="inlineStr">
        <is>
          <t>~16x</t>
        </is>
      </c>
      <c r="J6" s="4" t="inlineStr">
        <is>
          <t>Rating</t>
        </is>
      </c>
      <c r="K6" s="6" t="inlineStr">
        <is>
          <t>HOLD</t>
        </is>
      </c>
    </row>
    <row r="7" ht="17" customHeight="1">
      <c r="B7" s="4" t="inlineStr">
        <is>
          <t>Market Cap</t>
        </is>
      </c>
      <c r="C7" s="5" t="inlineStr">
        <is>
          <t>$51.9B</t>
        </is>
      </c>
      <c r="F7" s="4" t="inlineStr">
        <is>
          <t>EV/2027E Revenue</t>
        </is>
      </c>
      <c r="G7" s="5" t="inlineStr">
        <is>
          <t>~8x</t>
        </is>
      </c>
      <c r="J7" s="4" t="inlineStr">
        <is>
          <t>12M Price Target</t>
        </is>
      </c>
      <c r="K7" s="5" t="inlineStr">
        <is>
          <t>$180</t>
        </is>
      </c>
    </row>
    <row r="8" ht="17" customHeight="1">
      <c r="B8" s="4" t="inlineStr">
        <is>
          <t>52-Week Range</t>
        </is>
      </c>
      <c r="C8" s="5" t="inlineStr">
        <is>
          <t>$17.98 – $216.24</t>
        </is>
      </c>
      <c r="F8" s="4" t="inlineStr">
        <is>
          <t>P/S (2026E)</t>
        </is>
      </c>
      <c r="G8" s="5" t="inlineStr">
        <is>
          <t>~16x</t>
        </is>
      </c>
      <c r="J8" s="4" t="inlineStr">
        <is>
          <t>Upside/(Downside)</t>
        </is>
      </c>
      <c r="K8" s="5" t="inlineStr">
        <is>
          <t>-16.8%</t>
        </is>
      </c>
    </row>
    <row r="9" ht="17" customHeight="1">
      <c r="B9" s="4" t="inlineStr">
        <is>
          <t>Shares Outstanding</t>
        </is>
      </c>
      <c r="C9" s="5" t="inlineStr">
        <is>
          <t>253M</t>
        </is>
      </c>
      <c r="F9" s="4" t="inlineStr">
        <is>
          <t>P/S (2027E)</t>
        </is>
      </c>
      <c r="G9" s="5" t="inlineStr">
        <is>
          <t>~8x</t>
        </is>
      </c>
      <c r="J9" s="4" t="inlineStr">
        <is>
          <t>Bull Case PT</t>
        </is>
      </c>
      <c r="K9" s="5" t="inlineStr">
        <is>
          <t>$266</t>
        </is>
      </c>
    </row>
    <row r="10" ht="17" customHeight="1">
      <c r="B10" s="4" t="inlineStr">
        <is>
          <t>Net Cash (Q1-26)</t>
        </is>
      </c>
      <c r="C10" s="5" t="inlineStr">
        <is>
          <t>$0.8B</t>
        </is>
      </c>
      <c r="F10" s="4" t="inlineStr">
        <is>
          <t>EV/EBITDA (2027E)</t>
        </is>
      </c>
      <c r="G10" s="5" t="inlineStr">
        <is>
          <t>~37x</t>
        </is>
      </c>
      <c r="J10" s="4" t="inlineStr">
        <is>
          <t>Bear Case PT</t>
        </is>
      </c>
      <c r="K10" s="5" t="inlineStr">
        <is>
          <t>$70</t>
        </is>
      </c>
    </row>
    <row r="11" ht="17" customHeight="1">
      <c r="B11" s="4" t="inlineStr">
        <is>
          <t>Total Debt (Q1-26)</t>
        </is>
      </c>
      <c r="C11" s="5" t="inlineStr">
        <is>
          <t>$8.5B</t>
        </is>
      </c>
      <c r="F11" s="4" t="inlineStr">
        <is>
          <t>WACC</t>
        </is>
      </c>
      <c r="G11" s="5" t="inlineStr">
        <is>
          <t>19.0%</t>
        </is>
      </c>
      <c r="J11" s="4" t="inlineStr">
        <is>
          <t>PT Methodology</t>
        </is>
      </c>
      <c r="K11" s="5" t="inlineStr">
        <is>
          <t>50% DCF / 50% EV/Rev</t>
        </is>
      </c>
    </row>
    <row r="12" ht="17" customHeight="1">
      <c r="B12" s="4" t="inlineStr">
        <is>
          <t>Beta</t>
        </is>
      </c>
      <c r="C12" s="5" t="inlineStr">
        <is>
          <t>3.1x</t>
        </is>
      </c>
      <c r="F12" s="4" t="inlineStr">
        <is>
          <t>Terminal Growth</t>
        </is>
      </c>
      <c r="G12" s="5" t="inlineStr">
        <is>
          <t>2.5%</t>
        </is>
      </c>
      <c r="J12" s="4" t="inlineStr">
        <is>
          <t>Next Earnings</t>
        </is>
      </c>
      <c r="K12" s="5" t="inlineStr">
        <is>
          <t>Aug 6, 2026</t>
        </is>
      </c>
    </row>
    <row r="13" ht="17" customHeight="1">
      <c r="B13" s="4" t="inlineStr">
        <is>
          <t>Sector</t>
        </is>
      </c>
      <c r="C13" s="5" t="inlineStr">
        <is>
          <t>Communication Services</t>
        </is>
      </c>
      <c r="F13" s="4" t="inlineStr">
        <is>
          <t>Exit EV/EBITDA</t>
        </is>
      </c>
      <c r="G13" s="5" t="inlineStr">
        <is>
          <t>18x</t>
        </is>
      </c>
      <c r="J13" s="4" t="inlineStr">
        <is>
          <t>ARR (Q1-26)</t>
        </is>
      </c>
      <c r="K13" s="5" t="inlineStr">
        <is>
          <t>$1.92B</t>
        </is>
      </c>
    </row>
    <row r="15" ht="18" customHeight="1">
      <c r="B15" s="3" t="inlineStr">
        <is>
          <t>KEY FINANCIALS ($M)</t>
        </is>
      </c>
    </row>
    <row r="16" ht="16" customHeight="1">
      <c r="B16" s="7" t="inlineStr">
        <is>
          <t>Metric</t>
        </is>
      </c>
      <c r="C16" s="7" t="inlineStr">
        <is>
          <t>FY2022</t>
        </is>
      </c>
      <c r="D16" s="7" t="inlineStr">
        <is>
          <t>FY2023</t>
        </is>
      </c>
      <c r="E16" s="7" t="inlineStr">
        <is>
          <t>FY2024</t>
        </is>
      </c>
      <c r="F16" s="7" t="inlineStr">
        <is>
          <t>FY2025</t>
        </is>
      </c>
      <c r="G16" s="7" t="inlineStr">
        <is>
          <t>Q1-26A</t>
        </is>
      </c>
      <c r="H16" s="7" t="inlineStr">
        <is>
          <t>2026E Bull</t>
        </is>
      </c>
      <c r="I16" s="7" t="inlineStr">
        <is>
          <t>2026E Base</t>
        </is>
      </c>
      <c r="J16" s="7" t="inlineStr">
        <is>
          <t>2026E Bear</t>
        </is>
      </c>
      <c r="K16" s="7" t="inlineStr">
        <is>
          <t>2027E Base</t>
        </is>
      </c>
    </row>
    <row r="17" ht="16" customHeight="1">
      <c r="B17" s="8" t="inlineStr">
        <is>
          <t>Revenue</t>
        </is>
      </c>
      <c r="C17" s="9" t="n">
        <v>13.5</v>
      </c>
      <c r="D17" s="9" t="n">
        <v>29</v>
      </c>
      <c r="E17" s="9" t="n">
        <v>91.5</v>
      </c>
      <c r="F17" s="9" t="n">
        <v>529.8</v>
      </c>
      <c r="G17" s="9" t="n">
        <v>399</v>
      </c>
      <c r="H17" s="9" t="n">
        <v>3199.992</v>
      </c>
      <c r="I17" s="9" t="n">
        <v>3199.992</v>
      </c>
      <c r="J17" s="9" t="n">
        <v>2384.1</v>
      </c>
      <c r="K17" s="9" t="n">
        <v>6399.983999999999</v>
      </c>
    </row>
    <row r="18" ht="16" customHeight="1">
      <c r="B18" s="8" t="inlineStr">
        <is>
          <t>YoY Growth</t>
        </is>
      </c>
      <c r="C18" s="10" t="n"/>
      <c r="D18" s="11" t="inlineStr">
        <is>
          <t>115%</t>
        </is>
      </c>
      <c r="E18" s="11" t="inlineStr">
        <is>
          <t>215%</t>
        </is>
      </c>
      <c r="F18" s="11" t="inlineStr">
        <is>
          <t>479%</t>
        </is>
      </c>
      <c r="G18" s="11" t="inlineStr">
        <is>
          <t>684%</t>
        </is>
      </c>
      <c r="H18" s="10" t="n"/>
      <c r="I18" s="10" t="n"/>
      <c r="J18" s="10" t="n"/>
      <c r="K18" s="10" t="n"/>
    </row>
    <row r="19" ht="16" customHeight="1">
      <c r="B19" s="8" t="inlineStr">
        <is>
          <t>Adj EBITDA</t>
        </is>
      </c>
      <c r="C19" s="12" t="n">
        <v>-124.5</v>
      </c>
      <c r="D19" s="12" t="n">
        <v>-282.8</v>
      </c>
      <c r="E19" s="12" t="n">
        <v>-226.3</v>
      </c>
      <c r="F19" s="12" t="n">
        <v>-64.90000000000001</v>
      </c>
      <c r="G19" s="9" t="n">
        <v>129.5</v>
      </c>
      <c r="H19" s="9" t="n">
        <v>383.99904</v>
      </c>
      <c r="I19" s="9" t="n">
        <v>255.99936</v>
      </c>
      <c r="J19" s="9" t="n">
        <v>71.523</v>
      </c>
      <c r="K19" s="9" t="n">
        <v>1279.9968</v>
      </c>
    </row>
    <row r="20" ht="16" customHeight="1">
      <c r="B20" s="8" t="inlineStr">
        <is>
          <t>Adj EBITDA Margin</t>
        </is>
      </c>
      <c r="C20" s="10" t="n"/>
      <c r="D20" s="10" t="n"/>
      <c r="E20" s="11" t="inlineStr">
        <is>
          <t>-247%</t>
        </is>
      </c>
      <c r="F20" s="11" t="inlineStr">
        <is>
          <t>-12%</t>
        </is>
      </c>
      <c r="G20" s="11" t="inlineStr">
        <is>
          <t>32%</t>
        </is>
      </c>
      <c r="H20" s="11" t="inlineStr">
        <is>
          <t>12%</t>
        </is>
      </c>
      <c r="I20" s="11" t="inlineStr">
        <is>
          <t>8%</t>
        </is>
      </c>
      <c r="J20" s="11" t="inlineStr">
        <is>
          <t>3%</t>
        </is>
      </c>
      <c r="K20" s="11" t="inlineStr">
        <is>
          <t>20%</t>
        </is>
      </c>
    </row>
    <row r="21" ht="16" customHeight="1">
      <c r="B21" s="8" t="inlineStr">
        <is>
          <t>CapEx</t>
        </is>
      </c>
      <c r="C21" s="10" t="n"/>
      <c r="D21" s="10" t="n"/>
      <c r="E21" s="9" t="n">
        <v>807.5</v>
      </c>
      <c r="F21" s="9" t="n">
        <v>4066</v>
      </c>
      <c r="G21" s="9" t="n">
        <v>2472.9</v>
      </c>
      <c r="H21" s="10" t="n"/>
      <c r="I21" s="10" t="n"/>
      <c r="J21" s="10" t="n"/>
      <c r="K21" s="10" t="n"/>
    </row>
    <row r="22" ht="16" customHeight="1">
      <c r="B22" s="8" t="inlineStr">
        <is>
          <t>Cash &amp; Equiv</t>
        </is>
      </c>
      <c r="C22" s="10" t="n"/>
      <c r="D22" s="10" t="n"/>
      <c r="E22" s="9" t="n">
        <v>2434.7</v>
      </c>
      <c r="F22" s="9" t="n">
        <v>3678.1</v>
      </c>
      <c r="G22" s="9" t="n">
        <v>9298.200000000001</v>
      </c>
      <c r="H22" s="10" t="n"/>
      <c r="I22" s="10" t="n"/>
      <c r="J22" s="10" t="n"/>
      <c r="K22" s="10" t="n"/>
    </row>
    <row r="23" ht="16" customHeight="1">
      <c r="B23" s="8" t="inlineStr">
        <is>
          <t>ARR ($M)</t>
        </is>
      </c>
      <c r="C23" s="10" t="n"/>
      <c r="D23" s="10" t="n"/>
      <c r="E23" s="9" t="n">
        <v>90</v>
      </c>
      <c r="F23" s="9" t="n">
        <v>1250</v>
      </c>
      <c r="G23" s="9" t="n">
        <v>1920</v>
      </c>
      <c r="H23" s="10" t="n"/>
      <c r="I23" s="10" t="n"/>
      <c r="J23" s="10" t="n"/>
      <c r="K23" s="10" t="n"/>
    </row>
    <row r="24" ht="16" customHeight="1">
      <c r="B24" s="8" t="inlineStr">
        <is>
          <t>Net Income (GAAP)</t>
        </is>
      </c>
      <c r="C24" s="10" t="n"/>
      <c r="D24" s="10" t="n"/>
      <c r="E24" s="12" t="n">
        <v>-641.4</v>
      </c>
      <c r="F24" s="9" t="n">
        <v>101.7</v>
      </c>
      <c r="G24" s="9" t="n">
        <v>621.2</v>
      </c>
      <c r="H24" s="10" t="n"/>
      <c r="I24" s="10" t="n"/>
      <c r="J24" s="10" t="n"/>
      <c r="K24" s="10" t="n"/>
    </row>
  </sheetData>
  <mergeCells count="30">
    <mergeCell ref="G12:H12"/>
    <mergeCell ref="C6:D6"/>
    <mergeCell ref="F5:H5"/>
    <mergeCell ref="G11:H11"/>
    <mergeCell ref="B3:L3"/>
    <mergeCell ref="K9:L9"/>
    <mergeCell ref="G8:H8"/>
    <mergeCell ref="K11:L11"/>
    <mergeCell ref="C10:D10"/>
    <mergeCell ref="G7:H7"/>
    <mergeCell ref="G10:H10"/>
    <mergeCell ref="B2:L2"/>
    <mergeCell ref="K13:L13"/>
    <mergeCell ref="G6:H6"/>
    <mergeCell ref="C9:D9"/>
    <mergeCell ref="G13:H13"/>
    <mergeCell ref="C12:D12"/>
    <mergeCell ref="B5:D5"/>
    <mergeCell ref="K12:L12"/>
    <mergeCell ref="K8:L8"/>
    <mergeCell ref="C11:D11"/>
    <mergeCell ref="C8:D8"/>
    <mergeCell ref="J5:L5"/>
    <mergeCell ref="K7:L7"/>
    <mergeCell ref="C7:D7"/>
    <mergeCell ref="B15:L15"/>
    <mergeCell ref="K10:L10"/>
    <mergeCell ref="C13:D13"/>
    <mergeCell ref="K6:L6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22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2" ht="30" customHeight="1">
      <c r="B2" s="13" t="inlineStr">
        <is>
          <t>NEBIUS GROUP — SEGMENT REVENUE MODEL &amp; PROJECTIONS</t>
        </is>
      </c>
    </row>
    <row r="3">
      <c r="B3" s="2" t="inlineStr">
        <is>
          <t>USD Millions | FY2022–FY2025 Actuals | FY2026E–FY2030E Projections (Bull / Base / Bear)</t>
        </is>
      </c>
    </row>
    <row r="5" ht="18" customHeight="1">
      <c r="B5" s="3" t="inlineStr">
        <is>
          <t>HISTORICAL REVENUE BY SEGMENT ($M)</t>
        </is>
      </c>
    </row>
    <row r="6">
      <c r="B6" s="14" t="inlineStr">
        <is>
          <t>Segment</t>
        </is>
      </c>
      <c r="C6" s="14" t="inlineStr">
        <is>
          <t>FY2022</t>
        </is>
      </c>
      <c r="D6" s="14" t="inlineStr">
        <is>
          <t>FY2023</t>
        </is>
      </c>
      <c r="E6" s="14" t="inlineStr">
        <is>
          <t>FY2024</t>
        </is>
      </c>
      <c r="F6" s="14" t="inlineStr">
        <is>
          <t>FY2025</t>
        </is>
      </c>
    </row>
    <row r="7" ht="15" customHeight="1">
      <c r="B7" s="8" t="inlineStr">
        <is>
          <t>Nebius AI Cloud</t>
        </is>
      </c>
      <c r="C7" s="15" t="n">
        <v>0.5</v>
      </c>
      <c r="D7" s="15" t="n">
        <v>9.6</v>
      </c>
      <c r="E7" s="15" t="n">
        <v>68.3</v>
      </c>
      <c r="F7" s="15" t="n">
        <v>480.3</v>
      </c>
    </row>
    <row r="8" ht="15" customHeight="1">
      <c r="B8" s="8" t="inlineStr">
        <is>
          <t>Avride (AV tech)</t>
        </is>
      </c>
      <c r="C8" s="15" t="n">
        <v>0.3</v>
      </c>
      <c r="D8" s="16" t="inlineStr">
        <is>
          <t>-</t>
        </is>
      </c>
      <c r="E8" s="15" t="n">
        <v>0.3</v>
      </c>
      <c r="F8" s="15" t="n">
        <v>1.3</v>
      </c>
    </row>
    <row r="9" ht="15" customHeight="1">
      <c r="B9" s="8" t="inlineStr">
        <is>
          <t>TripleTen (EdTech)</t>
        </is>
      </c>
      <c r="C9" s="15" t="n">
        <v>2.2</v>
      </c>
      <c r="D9" s="15" t="n">
        <v>8.199999999999999</v>
      </c>
      <c r="E9" s="15" t="n">
        <v>28.8</v>
      </c>
      <c r="F9" s="15" t="n">
        <v>54.1</v>
      </c>
    </row>
    <row r="10" ht="15" customHeight="1">
      <c r="B10" s="8" t="inlineStr">
        <is>
          <t>Toloka (decons. Q2-25)</t>
        </is>
      </c>
      <c r="C10" s="15" t="n">
        <v>10.5</v>
      </c>
      <c r="D10" s="15" t="n">
        <v>11.1</v>
      </c>
      <c r="E10" s="15" t="n">
        <v>26.4</v>
      </c>
      <c r="F10" s="16" t="inlineStr">
        <is>
          <t>-</t>
        </is>
      </c>
    </row>
    <row r="11" ht="15" customHeight="1">
      <c r="B11" s="8" t="inlineStr">
        <is>
          <t>Eliminations</t>
        </is>
      </c>
      <c r="C11" s="16" t="inlineStr">
        <is>
          <t>-</t>
        </is>
      </c>
      <c r="D11" s="15" t="n">
        <v>-8</v>
      </c>
      <c r="E11" s="15" t="n">
        <v>-6.3</v>
      </c>
      <c r="F11" s="15" t="n">
        <v>-5.9</v>
      </c>
    </row>
    <row r="12" ht="16" customHeight="1">
      <c r="B12" s="17" t="inlineStr">
        <is>
          <t>TOTAL GROUP REVENUE</t>
        </is>
      </c>
      <c r="C12" s="18" t="n">
        <v>13.5</v>
      </c>
      <c r="D12" s="18" t="n">
        <v>29</v>
      </c>
      <c r="E12" s="18" t="n">
        <v>117.5</v>
      </c>
      <c r="F12" s="18" t="n">
        <v>529.8</v>
      </c>
    </row>
    <row r="14" ht="18" customHeight="1">
      <c r="B14" s="3" t="inlineStr">
        <is>
          <t>REVENUE PROJECTIONS BY SCENARIO ($M)</t>
        </is>
      </c>
    </row>
    <row r="15">
      <c r="B15" s="19" t="inlineStr">
        <is>
          <t>Metric / Year</t>
        </is>
      </c>
      <c r="C15" s="19" t="inlineStr">
        <is>
          <t>FY2026</t>
        </is>
      </c>
      <c r="F15" s="19" t="inlineStr">
        <is>
          <t>FY2027</t>
        </is>
      </c>
      <c r="I15" s="19" t="inlineStr">
        <is>
          <t>FY2028</t>
        </is>
      </c>
      <c r="L15" s="19" t="inlineStr">
        <is>
          <t>FY2029</t>
        </is>
      </c>
      <c r="O15" s="19" t="inlineStr">
        <is>
          <t>FY2030</t>
        </is>
      </c>
    </row>
    <row r="16" ht="15" customHeight="1">
      <c r="B16" s="19" t="inlineStr">
        <is>
          <t>Metric</t>
        </is>
      </c>
      <c r="C16" s="20" t="inlineStr">
        <is>
          <t>Bull</t>
        </is>
      </c>
      <c r="D16" s="21" t="inlineStr">
        <is>
          <t>Base</t>
        </is>
      </c>
      <c r="E16" s="22" t="inlineStr">
        <is>
          <t>Bear</t>
        </is>
      </c>
      <c r="F16" s="20" t="inlineStr">
        <is>
          <t>Bull</t>
        </is>
      </c>
      <c r="G16" s="21" t="inlineStr">
        <is>
          <t>Base</t>
        </is>
      </c>
      <c r="H16" s="22" t="inlineStr">
        <is>
          <t>Bear</t>
        </is>
      </c>
      <c r="I16" s="20" t="inlineStr">
        <is>
          <t>Bull</t>
        </is>
      </c>
      <c r="J16" s="21" t="inlineStr">
        <is>
          <t>Base</t>
        </is>
      </c>
      <c r="K16" s="22" t="inlineStr">
        <is>
          <t>Bear</t>
        </is>
      </c>
      <c r="L16" s="20" t="inlineStr">
        <is>
          <t>Bull</t>
        </is>
      </c>
      <c r="M16" s="21" t="inlineStr">
        <is>
          <t>Base</t>
        </is>
      </c>
      <c r="N16" s="22" t="inlineStr">
        <is>
          <t>Bear</t>
        </is>
      </c>
      <c r="O16" s="20" t="inlineStr">
        <is>
          <t>Bull</t>
        </is>
      </c>
      <c r="P16" s="21" t="inlineStr">
        <is>
          <t>Base</t>
        </is>
      </c>
      <c r="Q16" s="22" t="inlineStr">
        <is>
          <t>Bear</t>
        </is>
      </c>
    </row>
    <row r="17" ht="15" customHeight="1">
      <c r="B17" s="8" t="inlineStr">
        <is>
          <t>Total Revenue</t>
        </is>
      </c>
      <c r="C17" s="23" t="n">
        <v>3200</v>
      </c>
      <c r="D17" s="23" t="n">
        <v>3200</v>
      </c>
      <c r="E17" s="23" t="n">
        <v>2384.1</v>
      </c>
      <c r="F17" s="23" t="n">
        <v>7040</v>
      </c>
      <c r="G17" s="23" t="n">
        <v>6400</v>
      </c>
      <c r="H17" s="23" t="n">
        <v>4053</v>
      </c>
      <c r="I17" s="23" t="n">
        <v>11968</v>
      </c>
      <c r="J17" s="23" t="n">
        <v>9920</v>
      </c>
      <c r="K17" s="23" t="n">
        <v>5674.2</v>
      </c>
      <c r="L17" s="23" t="n">
        <v>17353.6</v>
      </c>
      <c r="M17" s="23" t="n">
        <v>13392</v>
      </c>
      <c r="N17" s="23" t="n">
        <v>7092.7</v>
      </c>
      <c r="O17" s="23" t="n">
        <v>22559.6</v>
      </c>
      <c r="P17" s="23" t="n">
        <v>16740</v>
      </c>
      <c r="Q17" s="24" t="n">
        <v>8369.4</v>
      </c>
    </row>
    <row r="18" ht="15" customHeight="1">
      <c r="B18" s="8" t="inlineStr">
        <is>
          <t>YoY Growth</t>
        </is>
      </c>
      <c r="C18" s="25" t="inlineStr">
        <is>
          <t>504%</t>
        </is>
      </c>
      <c r="D18" s="25" t="inlineStr">
        <is>
          <t>504%</t>
        </is>
      </c>
      <c r="E18" s="25" t="inlineStr">
        <is>
          <t>350%</t>
        </is>
      </c>
      <c r="F18" s="25" t="inlineStr">
        <is>
          <t>120%</t>
        </is>
      </c>
      <c r="G18" s="25" t="inlineStr">
        <is>
          <t>100%</t>
        </is>
      </c>
      <c r="H18" s="25" t="inlineStr">
        <is>
          <t>70%</t>
        </is>
      </c>
      <c r="I18" s="25" t="inlineStr">
        <is>
          <t>70%</t>
        </is>
      </c>
      <c r="J18" s="25" t="inlineStr">
        <is>
          <t>55%</t>
        </is>
      </c>
      <c r="K18" s="25" t="inlineStr">
        <is>
          <t>40%</t>
        </is>
      </c>
      <c r="L18" s="25" t="inlineStr">
        <is>
          <t>45%</t>
        </is>
      </c>
      <c r="M18" s="25" t="inlineStr">
        <is>
          <t>35%</t>
        </is>
      </c>
      <c r="N18" s="25" t="inlineStr">
        <is>
          <t>25%</t>
        </is>
      </c>
      <c r="O18" s="25" t="inlineStr">
        <is>
          <t>30%</t>
        </is>
      </c>
      <c r="P18" s="25" t="inlineStr">
        <is>
          <t>25%</t>
        </is>
      </c>
      <c r="Q18" s="26" t="inlineStr">
        <is>
          <t>18%</t>
        </is>
      </c>
    </row>
    <row r="19" ht="15" customHeight="1">
      <c r="B19" s="8" t="inlineStr">
        <is>
          <t>Adj EBITDA</t>
        </is>
      </c>
      <c r="C19" s="23" t="n">
        <v>384</v>
      </c>
      <c r="D19" s="23" t="n">
        <v>256</v>
      </c>
      <c r="E19" s="23" t="n">
        <v>71.5</v>
      </c>
      <c r="F19" s="23" t="n">
        <v>1830.4</v>
      </c>
      <c r="G19" s="23" t="n">
        <v>1280</v>
      </c>
      <c r="H19" s="23" t="n">
        <v>486.4</v>
      </c>
      <c r="I19" s="23" t="n">
        <v>4308.5</v>
      </c>
      <c r="J19" s="23" t="n">
        <v>2976</v>
      </c>
      <c r="K19" s="23" t="n">
        <v>1134.8</v>
      </c>
      <c r="L19" s="23" t="n">
        <v>7462</v>
      </c>
      <c r="M19" s="23" t="n">
        <v>5088.9</v>
      </c>
      <c r="N19" s="23" t="n">
        <v>1986</v>
      </c>
      <c r="O19" s="23" t="n">
        <v>10828.6</v>
      </c>
      <c r="P19" s="23" t="n">
        <v>7365.6</v>
      </c>
      <c r="Q19" s="24" t="n">
        <v>2929.3</v>
      </c>
    </row>
    <row r="20" ht="15" customHeight="1">
      <c r="B20" s="8" t="inlineStr">
        <is>
          <t>Adj EBITDA %</t>
        </is>
      </c>
      <c r="C20" s="25" t="inlineStr">
        <is>
          <t>12%</t>
        </is>
      </c>
      <c r="D20" s="25" t="inlineStr">
        <is>
          <t>8%</t>
        </is>
      </c>
      <c r="E20" s="25" t="inlineStr">
        <is>
          <t>3%</t>
        </is>
      </c>
      <c r="F20" s="25" t="inlineStr">
        <is>
          <t>26%</t>
        </is>
      </c>
      <c r="G20" s="25" t="inlineStr">
        <is>
          <t>20%</t>
        </is>
      </c>
      <c r="H20" s="25" t="inlineStr">
        <is>
          <t>12%</t>
        </is>
      </c>
      <c r="I20" s="25" t="inlineStr">
        <is>
          <t>36%</t>
        </is>
      </c>
      <c r="J20" s="25" t="inlineStr">
        <is>
          <t>30%</t>
        </is>
      </c>
      <c r="K20" s="25" t="inlineStr">
        <is>
          <t>20%</t>
        </is>
      </c>
      <c r="L20" s="25" t="inlineStr">
        <is>
          <t>43%</t>
        </is>
      </c>
      <c r="M20" s="25" t="inlineStr">
        <is>
          <t>38%</t>
        </is>
      </c>
      <c r="N20" s="25" t="inlineStr">
        <is>
          <t>28%</t>
        </is>
      </c>
      <c r="O20" s="25" t="inlineStr">
        <is>
          <t>48%</t>
        </is>
      </c>
      <c r="P20" s="25" t="inlineStr">
        <is>
          <t>44%</t>
        </is>
      </c>
      <c r="Q20" s="26" t="inlineStr">
        <is>
          <t>35%</t>
        </is>
      </c>
    </row>
    <row r="21" ht="15" customHeight="1">
      <c r="B21" s="8" t="inlineStr">
        <is>
          <t>D&amp;A</t>
        </is>
      </c>
      <c r="C21" s="23" t="n">
        <v>1664</v>
      </c>
      <c r="D21" s="23" t="n">
        <v>1792</v>
      </c>
      <c r="E21" s="23" t="n">
        <v>1478.1</v>
      </c>
      <c r="F21" s="23" t="n">
        <v>3097.6</v>
      </c>
      <c r="G21" s="23" t="n">
        <v>3136</v>
      </c>
      <c r="H21" s="23" t="n">
        <v>2188.6</v>
      </c>
      <c r="I21" s="23" t="n">
        <v>4428.1</v>
      </c>
      <c r="J21" s="23" t="n">
        <v>4067.2</v>
      </c>
      <c r="K21" s="23" t="n">
        <v>2610.1</v>
      </c>
      <c r="L21" s="23" t="n">
        <v>5379.6</v>
      </c>
      <c r="M21" s="23" t="n">
        <v>4553.3</v>
      </c>
      <c r="N21" s="23" t="n">
        <v>2695.2</v>
      </c>
      <c r="O21" s="23" t="n">
        <v>6091.1</v>
      </c>
      <c r="P21" s="23" t="n">
        <v>5022</v>
      </c>
      <c r="Q21" s="24" t="n">
        <v>2678.2</v>
      </c>
    </row>
    <row r="22" ht="15" customHeight="1">
      <c r="B22" s="8" t="inlineStr">
        <is>
          <t>Adj UFCF</t>
        </is>
      </c>
      <c r="C22" s="23" t="n">
        <v>-4309.4</v>
      </c>
      <c r="D22" s="23" t="n">
        <v>-5365.4</v>
      </c>
      <c r="E22" s="23" t="n">
        <v>-5034.8</v>
      </c>
      <c r="F22" s="23" t="n">
        <v>-4072</v>
      </c>
      <c r="G22" s="23" t="n">
        <v>-5592</v>
      </c>
      <c r="H22" s="23" t="n">
        <v>-5008.4</v>
      </c>
      <c r="I22" s="23" t="n">
        <v>-2955.9</v>
      </c>
      <c r="J22" s="23" t="n">
        <v>-3902</v>
      </c>
      <c r="K22" s="23" t="n">
        <v>-3819.9</v>
      </c>
      <c r="L22" s="23" t="n">
        <v>-1582.8</v>
      </c>
      <c r="M22" s="23" t="n">
        <v>-2413</v>
      </c>
      <c r="N22" s="23" t="n">
        <v>-2564</v>
      </c>
      <c r="O22" s="23" t="n">
        <v>-19.5</v>
      </c>
      <c r="P22" s="23" t="n">
        <v>-1364.3</v>
      </c>
      <c r="Q22" s="24" t="n">
        <v>-1730.8</v>
      </c>
    </row>
  </sheetData>
  <mergeCells count="16">
    <mergeCell ref="O21:Q21"/>
    <mergeCell ref="L15:N15"/>
    <mergeCell ref="O15:Q15"/>
    <mergeCell ref="B20:P20"/>
    <mergeCell ref="B14:Q14"/>
    <mergeCell ref="F15:H15"/>
    <mergeCell ref="B2:O2"/>
    <mergeCell ref="B5:F5"/>
    <mergeCell ref="B3:O3"/>
    <mergeCell ref="B14:F14"/>
    <mergeCell ref="C21:E21"/>
    <mergeCell ref="I21:K21"/>
    <mergeCell ref="F21:H21"/>
    <mergeCell ref="C15:E15"/>
    <mergeCell ref="I15:K15"/>
    <mergeCell ref="L21:N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8" customHeight="1">
      <c r="B2" s="13" t="inlineStr">
        <is>
          <t>NEBIUS GROUP — INCOME STATEMENT</t>
        </is>
      </c>
    </row>
    <row r="3">
      <c r="B3" s="2" t="inlineStr">
        <is>
          <t>USD Millions | FY2022–2025 Actuals | FY2026E–FY2030E Base Case Projections</t>
        </is>
      </c>
    </row>
    <row r="5" ht="18" customHeight="1">
      <c r="B5" s="27" t="inlineStr">
        <is>
          <t>Line Item</t>
        </is>
      </c>
      <c r="C5" s="27" t="inlineStr">
        <is>
          <t>FY2022</t>
        </is>
      </c>
      <c r="D5" s="27" t="inlineStr">
        <is>
          <t>FY2023</t>
        </is>
      </c>
      <c r="E5" s="27" t="inlineStr">
        <is>
          <t>FY2024</t>
        </is>
      </c>
      <c r="F5" s="27" t="inlineStr">
        <is>
          <t>FY2025</t>
        </is>
      </c>
      <c r="G5" s="27" t="inlineStr">
        <is>
          <t>Q1-26A</t>
        </is>
      </c>
      <c r="H5" s="27" t="inlineStr">
        <is>
          <t>2026E</t>
        </is>
      </c>
      <c r="I5" s="27" t="inlineStr">
        <is>
          <t>2027E</t>
        </is>
      </c>
      <c r="J5" s="27" t="inlineStr">
        <is>
          <t>2028E</t>
        </is>
      </c>
      <c r="K5" s="27" t="inlineStr">
        <is>
          <t>2029E</t>
        </is>
      </c>
      <c r="L5" s="28" t="inlineStr">
        <is>
          <t>2030E</t>
        </is>
      </c>
    </row>
    <row r="6" ht="15" customHeight="1">
      <c r="B6" s="17" t="inlineStr">
        <is>
          <t>Revenues</t>
        </is>
      </c>
      <c r="C6" s="18" t="n">
        <v>13.5</v>
      </c>
      <c r="D6" s="18" t="n">
        <v>29</v>
      </c>
      <c r="E6" s="18" t="n">
        <v>91.5</v>
      </c>
      <c r="F6" s="18" t="n">
        <v>529.8</v>
      </c>
      <c r="G6" s="18" t="n">
        <v>399</v>
      </c>
      <c r="H6" s="18" t="n">
        <v>3199.992</v>
      </c>
      <c r="I6" s="18" t="n">
        <v>6399.983999999999</v>
      </c>
      <c r="J6" s="18" t="n">
        <v>9919.975199999999</v>
      </c>
      <c r="K6" s="18" t="n">
        <v>13391.96652</v>
      </c>
      <c r="L6" s="29" t="n">
        <v>16739.95815</v>
      </c>
    </row>
    <row r="7" ht="15" customHeight="1">
      <c r="B7" s="8" t="inlineStr">
        <is>
          <t>YoY Growth</t>
        </is>
      </c>
      <c r="C7" s="30" t="n"/>
      <c r="D7" s="11" t="inlineStr">
        <is>
          <t>115%</t>
        </is>
      </c>
      <c r="E7" s="11" t="inlineStr">
        <is>
          <t>215%</t>
        </is>
      </c>
      <c r="F7" s="11" t="inlineStr">
        <is>
          <t>479%</t>
        </is>
      </c>
      <c r="G7" s="11" t="inlineStr">
        <is>
          <t>684% YoY</t>
        </is>
      </c>
      <c r="H7" s="11" t="inlineStr">
        <is>
          <t>504%</t>
        </is>
      </c>
      <c r="I7" s="11" t="inlineStr">
        <is>
          <t>100%</t>
        </is>
      </c>
      <c r="J7" s="11" t="inlineStr">
        <is>
          <t>55%</t>
        </is>
      </c>
      <c r="K7" s="11" t="inlineStr">
        <is>
          <t>35%</t>
        </is>
      </c>
      <c r="L7" s="5" t="inlineStr">
        <is>
          <t>25%</t>
        </is>
      </c>
    </row>
    <row r="8" ht="15" customHeight="1">
      <c r="B8" s="8" t="inlineStr">
        <is>
          <t xml:space="preserve">  Cost of Revenues</t>
        </is>
      </c>
      <c r="C8" s="30" t="n"/>
      <c r="D8" s="30" t="n"/>
      <c r="E8" s="12" t="n">
        <v>-43.7</v>
      </c>
      <c r="F8" s="12" t="n">
        <v>-166.2</v>
      </c>
      <c r="G8" s="30" t="n"/>
      <c r="H8" s="12" t="n">
        <v>-895.99776</v>
      </c>
      <c r="I8" s="12" t="n">
        <v>-1535.99616</v>
      </c>
      <c r="J8" s="12" t="n">
        <v>-2083.194792</v>
      </c>
      <c r="K8" s="12" t="n">
        <v>-2544.4736388</v>
      </c>
      <c r="L8" s="31" t="n">
        <v>-3013.192467</v>
      </c>
    </row>
    <row r="9" ht="15" customHeight="1">
      <c r="B9" s="17" t="inlineStr">
        <is>
          <t>Gross Profit</t>
        </is>
      </c>
      <c r="C9" s="32" t="n"/>
      <c r="D9" s="32" t="n"/>
      <c r="E9" s="18" t="n">
        <v>47.8</v>
      </c>
      <c r="F9" s="18" t="n">
        <v>363.6</v>
      </c>
      <c r="G9" s="32" t="n"/>
      <c r="H9" s="18" t="n">
        <v>2303.99424</v>
      </c>
      <c r="I9" s="18" t="n">
        <v>4863.98784</v>
      </c>
      <c r="J9" s="18" t="n">
        <v>7836.780408</v>
      </c>
      <c r="K9" s="18" t="n">
        <v>10847.4928812</v>
      </c>
      <c r="L9" s="29" t="n">
        <v>13726.765683</v>
      </c>
    </row>
    <row r="10" ht="15" customHeight="1">
      <c r="B10" s="8" t="inlineStr">
        <is>
          <t>Gross Margin</t>
        </is>
      </c>
      <c r="C10" s="30" t="n"/>
      <c r="D10" s="30" t="n"/>
      <c r="E10" s="11" t="inlineStr">
        <is>
          <t>52%</t>
        </is>
      </c>
      <c r="F10" s="11" t="inlineStr">
        <is>
          <t>69%</t>
        </is>
      </c>
      <c r="G10" s="30" t="n"/>
      <c r="H10" s="11" t="inlineStr">
        <is>
          <t>72%</t>
        </is>
      </c>
      <c r="I10" s="11" t="inlineStr">
        <is>
          <t>76%</t>
        </is>
      </c>
      <c r="J10" s="11" t="inlineStr">
        <is>
          <t>79%</t>
        </is>
      </c>
      <c r="K10" s="11" t="inlineStr">
        <is>
          <t>81%</t>
        </is>
      </c>
      <c r="L10" s="5" t="inlineStr">
        <is>
          <t>82%</t>
        </is>
      </c>
    </row>
    <row r="11" ht="15" customHeight="1">
      <c r="B11" s="8" t="inlineStr">
        <is>
          <t xml:space="preserve">  Product Development</t>
        </is>
      </c>
      <c r="C11" s="30" t="n"/>
      <c r="D11" s="30" t="n"/>
      <c r="E11" s="12" t="n">
        <v>-114.8</v>
      </c>
      <c r="F11" s="12" t="n">
        <v>-177.3</v>
      </c>
      <c r="G11" s="30" t="n"/>
      <c r="H11" s="12" t="n">
        <v>-639.9983999999999</v>
      </c>
      <c r="I11" s="12" t="n">
        <v>-1023.99744</v>
      </c>
      <c r="J11" s="12" t="n">
        <v>-1388.796528</v>
      </c>
      <c r="K11" s="12" t="n">
        <v>-1607.0359824</v>
      </c>
      <c r="L11" s="31" t="n">
        <v>-1841.3953965</v>
      </c>
    </row>
    <row r="12" ht="15" customHeight="1">
      <c r="B12" s="8" t="inlineStr">
        <is>
          <t xml:space="preserve">  SG&amp;A</t>
        </is>
      </c>
      <c r="C12" s="30" t="n"/>
      <c r="D12" s="30" t="n"/>
      <c r="E12" s="12" t="n">
        <v>-255.5</v>
      </c>
      <c r="F12" s="12" t="n">
        <v>-378.5</v>
      </c>
      <c r="G12" s="30" t="n"/>
      <c r="H12" s="12" t="n">
        <v>-895.99776</v>
      </c>
      <c r="I12" s="12" t="n">
        <v>-1407.99648</v>
      </c>
      <c r="J12" s="12" t="n">
        <v>-1785.595536</v>
      </c>
      <c r="K12" s="12" t="n">
        <v>-2008.794978</v>
      </c>
      <c r="L12" s="31" t="n">
        <v>-2176.1945595</v>
      </c>
    </row>
    <row r="13" ht="15" customHeight="1">
      <c r="B13" s="8" t="inlineStr">
        <is>
          <t xml:space="preserve">  D&amp;A</t>
        </is>
      </c>
      <c r="C13" s="30" t="n"/>
      <c r="D13" s="30" t="n"/>
      <c r="E13" s="12" t="n">
        <v>-77.09999999999999</v>
      </c>
      <c r="F13" s="12" t="n">
        <v>-404</v>
      </c>
      <c r="G13" s="12" t="n">
        <v>-212</v>
      </c>
      <c r="H13" s="12" t="n">
        <v>-1791.99552</v>
      </c>
      <c r="I13" s="12" t="n">
        <v>-3135.99216</v>
      </c>
      <c r="J13" s="12" t="n">
        <v>-4067.189831999999</v>
      </c>
      <c r="K13" s="12" t="n">
        <v>-4553.2686168</v>
      </c>
      <c r="L13" s="31" t="n">
        <v>-5021.987445</v>
      </c>
    </row>
    <row r="14" ht="15" customHeight="1">
      <c r="B14" s="17" t="inlineStr">
        <is>
          <t>Total OpEx</t>
        </is>
      </c>
      <c r="C14" s="32" t="n"/>
      <c r="D14" s="32" t="n"/>
      <c r="E14" s="33" t="n">
        <v>-491.1</v>
      </c>
      <c r="F14" s="33" t="n">
        <v>-1126</v>
      </c>
      <c r="G14" s="33" t="n">
        <v>-527</v>
      </c>
      <c r="H14" s="32" t="n"/>
      <c r="I14" s="32" t="n"/>
      <c r="J14" s="32" t="n"/>
      <c r="K14" s="32" t="n"/>
      <c r="L14" s="34" t="n"/>
    </row>
    <row r="15" ht="15" customHeight="1">
      <c r="B15" s="17" t="inlineStr">
        <is>
          <t>EBIT (GAAP)</t>
        </is>
      </c>
      <c r="C15" s="32" t="n"/>
      <c r="D15" s="32" t="n"/>
      <c r="E15" s="33" t="n">
        <v>-399.6</v>
      </c>
      <c r="F15" s="33" t="n">
        <v>-596.2</v>
      </c>
      <c r="G15" s="33" t="n">
        <v>-128</v>
      </c>
      <c r="H15" s="33" t="n">
        <v>-1535.99616</v>
      </c>
      <c r="I15" s="33" t="n">
        <v>-1855.99536</v>
      </c>
      <c r="J15" s="33" t="n">
        <v>-1091.197271999999</v>
      </c>
      <c r="K15" s="18" t="n">
        <v>535.6786608000002</v>
      </c>
      <c r="L15" s="29" t="n">
        <v>2343.594141</v>
      </c>
    </row>
    <row r="16" ht="15" customHeight="1">
      <c r="B16" s="8" t="inlineStr">
        <is>
          <t xml:space="preserve">  Interest Income</t>
        </is>
      </c>
      <c r="C16" s="30" t="n"/>
      <c r="D16" s="30" t="n"/>
      <c r="E16" s="9" t="n">
        <v>63.6</v>
      </c>
      <c r="F16" s="9" t="n">
        <v>31.8</v>
      </c>
      <c r="G16" s="30" t="n"/>
      <c r="H16" s="30" t="n"/>
      <c r="I16" s="30" t="n"/>
      <c r="J16" s="30" t="n"/>
      <c r="K16" s="30" t="n"/>
      <c r="L16" s="35" t="n"/>
    </row>
    <row r="17" ht="15" customHeight="1">
      <c r="B17" s="8" t="inlineStr">
        <is>
          <t xml:space="preserve">  Interest Expense</t>
        </is>
      </c>
      <c r="C17" s="30" t="n"/>
      <c r="D17" s="30" t="n"/>
      <c r="E17" s="9" t="n">
        <v>0</v>
      </c>
      <c r="F17" s="12" t="n">
        <v>-57.8</v>
      </c>
      <c r="G17" s="12" t="n">
        <v>-63.7</v>
      </c>
      <c r="H17" s="30" t="n"/>
      <c r="I17" s="30" t="n"/>
      <c r="J17" s="30" t="n"/>
      <c r="K17" s="30" t="n"/>
      <c r="L17" s="35" t="n"/>
    </row>
    <row r="18" ht="15" customHeight="1">
      <c r="B18" s="8" t="inlineStr">
        <is>
          <t xml:space="preserve">  Other Income/Equity Gains</t>
        </is>
      </c>
      <c r="C18" s="30" t="n"/>
      <c r="D18" s="30" t="n"/>
      <c r="E18" s="12" t="n">
        <v>-17.4</v>
      </c>
      <c r="F18" s="9" t="n">
        <v>679.5</v>
      </c>
      <c r="G18" s="9" t="n">
        <v>780.6</v>
      </c>
      <c r="H18" s="30" t="n"/>
      <c r="I18" s="30" t="n"/>
      <c r="J18" s="30" t="n"/>
      <c r="K18" s="30" t="n"/>
      <c r="L18" s="35" t="n"/>
    </row>
    <row r="19" ht="15" customHeight="1">
      <c r="B19" s="17" t="inlineStr">
        <is>
          <t>Pre-tax Income</t>
        </is>
      </c>
      <c r="C19" s="32" t="n"/>
      <c r="D19" s="32" t="n"/>
      <c r="E19" s="33" t="n">
        <v>-353</v>
      </c>
      <c r="F19" s="18" t="n">
        <v>33</v>
      </c>
      <c r="G19" s="32" t="n"/>
      <c r="H19" s="32" t="n"/>
      <c r="I19" s="32" t="n"/>
      <c r="J19" s="32" t="n"/>
      <c r="K19" s="32" t="n"/>
      <c r="L19" s="34" t="n"/>
    </row>
    <row r="20" ht="15" customHeight="1">
      <c r="B20" s="17" t="inlineStr">
        <is>
          <t>Net Income (GAAP)</t>
        </is>
      </c>
      <c r="C20" s="32" t="n"/>
      <c r="D20" s="32" t="n"/>
      <c r="E20" s="33" t="n">
        <v>-641.4</v>
      </c>
      <c r="F20" s="18" t="n">
        <v>101.7</v>
      </c>
      <c r="G20" s="18" t="n">
        <v>621.2</v>
      </c>
      <c r="H20" s="32" t="n"/>
      <c r="I20" s="32" t="n"/>
      <c r="J20" s="32" t="n"/>
      <c r="K20" s="32" t="n"/>
      <c r="L20" s="34" t="n"/>
    </row>
    <row r="21" ht="15" customHeight="1">
      <c r="B21" s="36" t="inlineStr">
        <is>
          <t>— ADJUSTED METRICS —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5" t="n"/>
    </row>
    <row r="22" ht="15" customHeight="1">
      <c r="B22" s="17" t="inlineStr">
        <is>
          <t>Adj EBITDA</t>
        </is>
      </c>
      <c r="C22" s="33" t="n">
        <v>-124.5</v>
      </c>
      <c r="D22" s="33" t="n">
        <v>-282.8</v>
      </c>
      <c r="E22" s="33" t="n">
        <v>-226.3</v>
      </c>
      <c r="F22" s="33" t="n">
        <v>-64.90000000000001</v>
      </c>
      <c r="G22" s="18" t="n">
        <v>129.5</v>
      </c>
      <c r="H22" s="18" t="n">
        <v>255.99936</v>
      </c>
      <c r="I22" s="18" t="n">
        <v>1279.9968</v>
      </c>
      <c r="J22" s="18" t="n">
        <v>2975.99256</v>
      </c>
      <c r="K22" s="18" t="n">
        <v>5088.9472776</v>
      </c>
      <c r="L22" s="29" t="n">
        <v>7365.581585999999</v>
      </c>
    </row>
    <row r="23" ht="15" customHeight="1">
      <c r="B23" s="8" t="inlineStr">
        <is>
          <t>Adj EBITDA Margin</t>
        </is>
      </c>
      <c r="C23" s="30" t="n"/>
      <c r="D23" s="30" t="n"/>
      <c r="E23" s="11" t="inlineStr">
        <is>
          <t>-247%</t>
        </is>
      </c>
      <c r="F23" s="11" t="inlineStr">
        <is>
          <t>-12%</t>
        </is>
      </c>
      <c r="G23" s="11" t="inlineStr">
        <is>
          <t>32%</t>
        </is>
      </c>
      <c r="H23" s="11" t="inlineStr">
        <is>
          <t>8%</t>
        </is>
      </c>
      <c r="I23" s="11" t="inlineStr">
        <is>
          <t>20%</t>
        </is>
      </c>
      <c r="J23" s="11" t="inlineStr">
        <is>
          <t>30%</t>
        </is>
      </c>
      <c r="K23" s="11" t="inlineStr">
        <is>
          <t>38%</t>
        </is>
      </c>
      <c r="L23" s="5" t="inlineStr">
        <is>
          <t>44%</t>
        </is>
      </c>
    </row>
    <row r="24" ht="15" customHeight="1">
      <c r="B24" s="8" t="inlineStr">
        <is>
          <t>EPS (GAAP) Diluted</t>
        </is>
      </c>
      <c r="C24" s="30" t="n"/>
      <c r="D24" s="11" t="inlineStr">
        <is>
          <t>-0.80</t>
        </is>
      </c>
      <c r="E24" s="11" t="inlineStr">
        <is>
          <t>-1.13</t>
        </is>
      </c>
      <c r="F24" s="11" t="inlineStr">
        <is>
          <t>0.17</t>
        </is>
      </c>
      <c r="G24" s="30" t="n"/>
      <c r="H24" s="30" t="n"/>
      <c r="I24" s="30" t="n"/>
      <c r="J24" s="30" t="n"/>
      <c r="K24" s="30" t="n"/>
      <c r="L24" s="35" t="n"/>
    </row>
  </sheetData>
  <mergeCells count="2">
    <mergeCell ref="B3:M3"/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</cols>
  <sheetData>
    <row r="2" ht="28" customHeight="1">
      <c r="B2" s="13" t="inlineStr">
        <is>
          <t>NEBIUS GROUP — BALANCE SHEET</t>
        </is>
      </c>
    </row>
    <row r="3">
      <c r="B3" s="2" t="inlineStr">
        <is>
          <t>USD Millions | As of December 31, 2024 and 2025 | March 31, 2026 (Q1-26A)</t>
        </is>
      </c>
    </row>
    <row r="5" ht="18" customHeight="1">
      <c r="B5" s="27" t="inlineStr">
        <is>
          <t>Balance Sheet Item</t>
        </is>
      </c>
      <c r="C5" s="27" t="inlineStr">
        <is>
          <t>Dec 31, 2024</t>
        </is>
      </c>
      <c r="D5" s="27" t="inlineStr">
        <is>
          <t>Dec 31, 2025</t>
        </is>
      </c>
      <c r="E5" s="27" t="inlineStr">
        <is>
          <t>Mar 31, 2026E</t>
        </is>
      </c>
    </row>
    <row r="6" ht="15" customHeight="1">
      <c r="B6" s="37" t="inlineStr">
        <is>
          <t>ASSETS</t>
        </is>
      </c>
      <c r="C6" s="38" t="n"/>
      <c r="D6" s="38" t="n"/>
      <c r="E6" s="38" t="n"/>
    </row>
    <row r="7" ht="15" customHeight="1">
      <c r="B7" s="8" t="inlineStr">
        <is>
          <t xml:space="preserve">  Cash &amp; Cash Equivalents</t>
        </is>
      </c>
      <c r="C7" s="9" t="n">
        <v>2434.7</v>
      </c>
      <c r="D7" s="9" t="n">
        <v>3678.1</v>
      </c>
      <c r="E7" s="9" t="n">
        <v>9298.200000000001</v>
      </c>
    </row>
    <row r="8" ht="15" customHeight="1">
      <c r="B8" s="8" t="inlineStr">
        <is>
          <t xml:space="preserve">  Accounts Receivable</t>
        </is>
      </c>
      <c r="C8" s="9" t="n">
        <v>11.2</v>
      </c>
      <c r="D8" s="9" t="n">
        <v>720.3</v>
      </c>
      <c r="E8" s="30" t="n"/>
    </row>
    <row r="9" ht="15" customHeight="1">
      <c r="B9" s="8" t="inlineStr">
        <is>
          <t xml:space="preserve">  Prepaid &amp; Other Current</t>
        </is>
      </c>
      <c r="C9" s="9" t="n">
        <v>66</v>
      </c>
      <c r="D9" s="9" t="n">
        <v>312</v>
      </c>
      <c r="E9" s="30" t="n"/>
    </row>
    <row r="10" ht="15" customHeight="1">
      <c r="B10" s="17" t="inlineStr">
        <is>
          <t>Total Current Assets</t>
        </is>
      </c>
      <c r="C10" s="18" t="n">
        <v>2533.3</v>
      </c>
      <c r="D10" s="18" t="n">
        <v>4711.4</v>
      </c>
      <c r="E10" s="32" t="n"/>
    </row>
    <row r="11" ht="15" customHeight="1">
      <c r="B11" s="8" t="inlineStr">
        <is>
          <t xml:space="preserve">  Property &amp; Equipment</t>
        </is>
      </c>
      <c r="C11" s="9" t="n">
        <v>846.7</v>
      </c>
      <c r="D11" s="9" t="n">
        <v>5572.5</v>
      </c>
      <c r="E11" s="30" t="n"/>
    </row>
    <row r="12" ht="15" customHeight="1">
      <c r="B12" s="8" t="inlineStr">
        <is>
          <t xml:space="preserve">  Operating Lease ROU</t>
        </is>
      </c>
      <c r="C12" s="9" t="n">
        <v>44.8</v>
      </c>
      <c r="D12" s="9" t="n">
        <v>918.8</v>
      </c>
      <c r="E12" s="30" t="n"/>
    </row>
    <row r="13" ht="15" customHeight="1">
      <c r="B13" s="8" t="inlineStr">
        <is>
          <t xml:space="preserve">  Intangible Assets</t>
        </is>
      </c>
      <c r="C13" s="9" t="n">
        <v>4.9</v>
      </c>
      <c r="D13" s="9" t="n">
        <v>19.7</v>
      </c>
      <c r="E13" s="30" t="n"/>
    </row>
    <row r="14" ht="15" customHeight="1">
      <c r="B14" s="8" t="inlineStr">
        <is>
          <t xml:space="preserve">  Equity Investments</t>
        </is>
      </c>
      <c r="C14" s="9" t="n">
        <v>97.09999999999999</v>
      </c>
      <c r="D14" s="9" t="n">
        <v>847.7</v>
      </c>
      <c r="E14" s="30" t="n"/>
    </row>
    <row r="15" ht="15" customHeight="1">
      <c r="B15" s="8" t="inlineStr">
        <is>
          <t xml:space="preserve">  Other Non-Current</t>
        </is>
      </c>
      <c r="C15" s="9" t="n">
        <v>21.1</v>
      </c>
      <c r="D15" s="9" t="n">
        <v>379.7</v>
      </c>
      <c r="E15" s="30" t="n"/>
    </row>
    <row r="16" ht="15" customHeight="1">
      <c r="B16" s="17" t="inlineStr">
        <is>
          <t>Total Non-Current Assets</t>
        </is>
      </c>
      <c r="C16" s="18" t="n">
        <v>1015.3</v>
      </c>
      <c r="D16" s="18" t="n">
        <v>7738.4</v>
      </c>
      <c r="E16" s="32" t="n"/>
    </row>
    <row r="17" ht="15" customHeight="1">
      <c r="B17" s="17" t="inlineStr">
        <is>
          <t>TOTAL ASSETS</t>
        </is>
      </c>
      <c r="C17" s="18" t="n">
        <v>3548.6</v>
      </c>
      <c r="D17" s="18" t="n">
        <v>12449.8</v>
      </c>
      <c r="E17" s="32" t="n"/>
    </row>
    <row r="18" ht="15" customHeight="1">
      <c r="B18" s="37" t="inlineStr">
        <is>
          <t>LIABILITIES</t>
        </is>
      </c>
      <c r="C18" s="38" t="n"/>
      <c r="D18" s="38" t="n"/>
      <c r="E18" s="38" t="n"/>
    </row>
    <row r="19" ht="15" customHeight="1">
      <c r="B19" s="8" t="inlineStr">
        <is>
          <t xml:space="preserve">  Accounts Payable &amp; Accrued</t>
        </is>
      </c>
      <c r="C19" s="9" t="n">
        <v>228</v>
      </c>
      <c r="D19" s="9" t="n">
        <v>1210.1</v>
      </c>
      <c r="E19" s="30" t="n"/>
    </row>
    <row r="20" ht="15" customHeight="1">
      <c r="B20" s="8" t="inlineStr">
        <is>
          <t xml:space="preserve">  Current Debt</t>
        </is>
      </c>
      <c r="C20" s="9" t="n">
        <v>6.1</v>
      </c>
      <c r="D20" s="9" t="n">
        <v>24.5</v>
      </c>
      <c r="E20" s="30" t="n"/>
    </row>
    <row r="21" ht="15" customHeight="1">
      <c r="B21" s="8" t="inlineStr">
        <is>
          <t xml:space="preserve">  Deferred Revenue (Current)</t>
        </is>
      </c>
      <c r="C21" s="9" t="n">
        <v>16.3</v>
      </c>
      <c r="D21" s="9" t="n">
        <v>275.5</v>
      </c>
      <c r="E21" s="30" t="n"/>
    </row>
    <row r="22" ht="15" customHeight="1">
      <c r="B22" s="8" t="inlineStr">
        <is>
          <t xml:space="preserve">  Other Current Liabilities</t>
        </is>
      </c>
      <c r="C22" s="9" t="n">
        <v>13.6</v>
      </c>
      <c r="D22" s="9" t="n">
        <v>17.7</v>
      </c>
      <c r="E22" s="30" t="n"/>
    </row>
    <row r="23" ht="15" customHeight="1">
      <c r="B23" s="17" t="inlineStr">
        <is>
          <t>Total Current Liabilities</t>
        </is>
      </c>
      <c r="C23" s="18" t="n">
        <v>264</v>
      </c>
      <c r="D23" s="18" t="n">
        <v>1527.8</v>
      </c>
      <c r="E23" s="32" t="n"/>
    </row>
    <row r="24" ht="15" customHeight="1">
      <c r="B24" s="8" t="inlineStr">
        <is>
          <t xml:space="preserve">  Long-Term Debt</t>
        </is>
      </c>
      <c r="C24" s="9" t="n">
        <v>0</v>
      </c>
      <c r="D24" s="9" t="n">
        <v>4103.2</v>
      </c>
      <c r="E24" s="9" t="n">
        <v>8432</v>
      </c>
    </row>
    <row r="25" ht="15" customHeight="1">
      <c r="B25" s="8" t="inlineStr">
        <is>
          <t xml:space="preserve">  Operating Lease Liabilities</t>
        </is>
      </c>
      <c r="C25" s="9" t="n">
        <v>30.3</v>
      </c>
      <c r="D25" s="9" t="n">
        <v>760.5</v>
      </c>
      <c r="E25" s="30" t="n"/>
    </row>
    <row r="26" ht="15" customHeight="1">
      <c r="B26" s="8" t="inlineStr">
        <is>
          <t xml:space="preserve">  Deferred Revenue (LT)</t>
        </is>
      </c>
      <c r="C26" s="9" t="n">
        <v>0</v>
      </c>
      <c r="D26" s="9" t="n">
        <v>1302</v>
      </c>
      <c r="E26" s="30" t="n"/>
    </row>
    <row r="27" ht="15" customHeight="1">
      <c r="B27" s="8" t="inlineStr">
        <is>
          <t xml:space="preserve">  Other Non-Current Liabilities</t>
        </is>
      </c>
      <c r="C27" s="9" t="n">
        <v>0.6</v>
      </c>
      <c r="D27" s="9" t="n">
        <v>143.1</v>
      </c>
      <c r="E27" s="30" t="n"/>
    </row>
    <row r="28" ht="15" customHeight="1">
      <c r="B28" s="17" t="inlineStr">
        <is>
          <t>Total Non-Current Liabilities</t>
        </is>
      </c>
      <c r="C28" s="18" t="n">
        <v>30.9</v>
      </c>
      <c r="D28" s="18" t="n">
        <v>6308.8</v>
      </c>
      <c r="E28" s="32" t="n"/>
    </row>
    <row r="29" ht="15" customHeight="1">
      <c r="B29" s="17" t="inlineStr">
        <is>
          <t>TOTAL LIABILITIES</t>
        </is>
      </c>
      <c r="C29" s="18" t="n">
        <v>294.9</v>
      </c>
      <c r="D29" s="18" t="n">
        <v>7836.6</v>
      </c>
      <c r="E29" s="32" t="n"/>
    </row>
    <row r="30" ht="15" customHeight="1">
      <c r="B30" s="37" t="inlineStr">
        <is>
          <t>SHAREHOLDERS EQUITY</t>
        </is>
      </c>
      <c r="C30" s="38" t="n"/>
      <c r="D30" s="38" t="n"/>
      <c r="E30" s="38" t="n"/>
    </row>
    <row r="31" ht="15" customHeight="1">
      <c r="B31" s="8" t="inlineStr">
        <is>
          <t xml:space="preserve">  Ordinary Shares &amp; APIC</t>
        </is>
      </c>
      <c r="C31" s="9" t="n">
        <v>2025.9</v>
      </c>
      <c r="D31" s="9" t="n">
        <v>2369.3</v>
      </c>
      <c r="E31" s="30" t="n"/>
    </row>
    <row r="32" ht="15" customHeight="1">
      <c r="B32" s="8" t="inlineStr">
        <is>
          <t xml:space="preserve">  Treasury Shares</t>
        </is>
      </c>
      <c r="C32" s="12" t="n">
        <v>-1968.1</v>
      </c>
      <c r="D32" s="12" t="n">
        <v>-1075.7</v>
      </c>
      <c r="E32" s="30" t="n"/>
    </row>
    <row r="33" ht="15" customHeight="1">
      <c r="B33" s="8" t="inlineStr">
        <is>
          <t xml:space="preserve">  Retained Earnings</t>
        </is>
      </c>
      <c r="C33" s="9" t="n">
        <v>3218</v>
      </c>
      <c r="D33" s="9" t="n">
        <v>3319.7</v>
      </c>
      <c r="E33" s="30" t="n"/>
    </row>
    <row r="34" ht="15" customHeight="1">
      <c r="B34" s="8" t="inlineStr">
        <is>
          <t xml:space="preserve">  Other Comprehensive Loss</t>
        </is>
      </c>
      <c r="C34" s="12" t="n">
        <v>-22.1</v>
      </c>
      <c r="D34" s="12" t="n">
        <v>-0.1</v>
      </c>
      <c r="E34" s="30" t="n"/>
    </row>
    <row r="35" ht="15" customHeight="1">
      <c r="B35" s="17" t="inlineStr">
        <is>
          <t>TOTAL SHAREHOLDERS EQUITY</t>
        </is>
      </c>
      <c r="C35" s="18" t="n">
        <v>3253.7</v>
      </c>
      <c r="D35" s="18" t="n">
        <v>4613.2</v>
      </c>
      <c r="E35" s="32" t="n"/>
    </row>
    <row r="36" ht="15" customHeight="1">
      <c r="B36" s="17" t="inlineStr">
        <is>
          <t>TOTAL LIABILITIES + EQUITY</t>
        </is>
      </c>
      <c r="C36" s="18" t="n">
        <v>3548.6</v>
      </c>
      <c r="D36" s="18" t="n">
        <v>12449.8</v>
      </c>
      <c r="E36" s="32" t="n"/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"/>
    </sheetView>
  </sheetViews>
  <sheetFormatPr baseColWidth="8" defaultRowHeight="15"/>
  <sheetData>
    <row r="2" ht="28" customHeight="1">
      <c r="B2" s="13" t="inlineStr">
        <is>
          <t>NEBIUS GROUP — DISCOUNTED CASH FLOW VALUATION</t>
        </is>
      </c>
    </row>
    <row r="3">
      <c r="B3" s="2" t="inlineStr">
        <is>
          <t>Base Case | WACC: 19.0% | Terminal Growth: 2.5% | 7-Year Explicit Forecast | Exit Multiple &amp; Perpetuity Growth Methods</t>
        </is>
      </c>
    </row>
    <row r="5" ht="18" customHeight="1">
      <c r="B5" s="3" t="inlineStr">
        <is>
          <t>WACC BUILD-UP</t>
        </is>
      </c>
    </row>
    <row r="6" ht="16" customHeight="1">
      <c r="B6" s="14" t="inlineStr">
        <is>
          <t>Component</t>
        </is>
      </c>
      <c r="C6" s="14" t="inlineStr">
        <is>
          <t>Value</t>
        </is>
      </c>
      <c r="D6" s="14" t="inlineStr">
        <is>
          <t>Notes</t>
        </is>
      </c>
    </row>
    <row r="7" ht="15" customHeight="1">
      <c r="B7" s="8" t="inlineStr">
        <is>
          <t>Risk-Free Rate (10Y UST)</t>
        </is>
      </c>
      <c r="C7" s="39" t="inlineStr">
        <is>
          <t>4.30%</t>
        </is>
      </c>
      <c r="D7" s="40" t="inlineStr">
        <is>
          <t>Current 10Y Treasury yield ~4.3%</t>
        </is>
      </c>
    </row>
    <row r="8" ht="15" customHeight="1">
      <c r="B8" s="8" t="inlineStr">
        <is>
          <t>Equity Risk Premium (ERP)</t>
        </is>
      </c>
      <c r="C8" s="39" t="inlineStr">
        <is>
          <t>5.5%</t>
        </is>
      </c>
      <c r="D8" s="40" t="inlineStr">
        <is>
          <t>Damodaran 2025 US ERP</t>
        </is>
      </c>
    </row>
    <row r="9" ht="15" customHeight="1">
      <c r="B9" s="8" t="inlineStr">
        <is>
          <t>Beta (adjusted)</t>
        </is>
      </c>
      <c r="C9" s="39" t="inlineStr">
        <is>
          <t>3.10x</t>
        </is>
      </c>
      <c r="D9" s="40" t="inlineStr">
        <is>
          <t>High-growth neocloud; fading from ~3.9 to ~3.1</t>
        </is>
      </c>
    </row>
    <row r="10" ht="15" customHeight="1">
      <c r="B10" s="8" t="inlineStr">
        <is>
          <t>Cost of Equity</t>
        </is>
      </c>
      <c r="C10" s="39" t="inlineStr">
        <is>
          <t>21.35%</t>
        </is>
      </c>
      <c r="D10" s="40">
        <f> Rf + Beta × ERP</f>
        <v/>
      </c>
    </row>
    <row r="11" ht="15" customHeight="1">
      <c r="B11" s="8" t="inlineStr">
        <is>
          <t>Pre-tax Cost of Debt</t>
        </is>
      </c>
      <c r="C11" s="39" t="inlineStr">
        <is>
          <t>5.5%</t>
        </is>
      </c>
      <c r="D11" s="40" t="inlineStr">
        <is>
          <t>Blended coupon on $4.3B convertible notes</t>
        </is>
      </c>
    </row>
    <row r="12" ht="15" customHeight="1">
      <c r="B12" s="8" t="inlineStr">
        <is>
          <t>Tax Rate</t>
        </is>
      </c>
      <c r="C12" s="39" t="inlineStr">
        <is>
          <t>12.5%</t>
        </is>
      </c>
      <c r="D12" s="40" t="inlineStr">
        <is>
          <t>Effective rate (NOLs + NL holding structure)</t>
        </is>
      </c>
    </row>
    <row r="13" ht="15" customHeight="1">
      <c r="B13" s="8" t="inlineStr">
        <is>
          <t>After-tax Cost of Debt</t>
        </is>
      </c>
      <c r="C13" s="39" t="inlineStr">
        <is>
          <t>4.81%</t>
        </is>
      </c>
      <c r="D13" s="40">
        <f> Pre-tax CoD × (1 - Tax Rate)</f>
        <v/>
      </c>
    </row>
    <row r="14" ht="15" customHeight="1">
      <c r="B14" s="8" t="inlineStr">
        <is>
          <t>Equity Weight</t>
        </is>
      </c>
      <c r="C14" s="39" t="inlineStr">
        <is>
          <t>86.0%</t>
        </is>
      </c>
      <c r="D14" s="40">
        <f> Market Cap / (Market Cap + Debt)</f>
        <v/>
      </c>
    </row>
    <row r="15" ht="15" customHeight="1">
      <c r="B15" s="8" t="inlineStr">
        <is>
          <t>Debt Weight</t>
        </is>
      </c>
      <c r="C15" s="39" t="inlineStr">
        <is>
          <t>14.0%</t>
        </is>
      </c>
      <c r="D15" s="40">
        <f> Debt / (Market Cap + Debt)</f>
        <v/>
      </c>
    </row>
    <row r="16" ht="15" customHeight="1">
      <c r="B16" s="41" t="inlineStr">
        <is>
          <t>WACC</t>
        </is>
      </c>
      <c r="C16" s="42" t="inlineStr">
        <is>
          <t>19.03%</t>
        </is>
      </c>
      <c r="D16" s="40">
        <f> E/V × Ke + D/V × Kd × (1-T)</f>
        <v/>
      </c>
    </row>
    <row r="18" ht="18" customHeight="1">
      <c r="B18" s="3" t="inlineStr">
        <is>
          <t>PROJECTED FREE CASH FLOWS — BASE CASE ($M)</t>
        </is>
      </c>
    </row>
    <row r="19" ht="16" customHeight="1">
      <c r="B19" s="19" t="inlineStr">
        <is>
          <t>Line Item</t>
        </is>
      </c>
      <c r="C19" s="19" t="inlineStr">
        <is>
          <t>FY2026E</t>
        </is>
      </c>
      <c r="D19" s="19" t="inlineStr">
        <is>
          <t>FY2027E</t>
        </is>
      </c>
      <c r="E19" s="19" t="inlineStr">
        <is>
          <t>FY2028E</t>
        </is>
      </c>
      <c r="F19" s="19" t="inlineStr">
        <is>
          <t>FY2029E</t>
        </is>
      </c>
      <c r="G19" s="19" t="inlineStr">
        <is>
          <t>FY2030E</t>
        </is>
      </c>
      <c r="H19" s="19" t="inlineStr">
        <is>
          <t>FY2031E</t>
        </is>
      </c>
      <c r="I19" s="19" t="inlineStr">
        <is>
          <t>FY2032E</t>
        </is>
      </c>
    </row>
    <row r="20" ht="15" customHeight="1">
      <c r="B20" s="17" t="inlineStr">
        <is>
          <t>Revenue</t>
        </is>
      </c>
      <c r="C20" s="18" t="n">
        <v>3200</v>
      </c>
      <c r="D20" s="18" t="n">
        <v>6400</v>
      </c>
      <c r="E20" s="18" t="n">
        <v>9920</v>
      </c>
      <c r="F20" s="18" t="n">
        <v>13392</v>
      </c>
      <c r="G20" s="18" t="n">
        <v>16740</v>
      </c>
      <c r="H20" s="18" t="n">
        <v>19753.2</v>
      </c>
      <c r="I20" s="18" t="n">
        <v>22518.6</v>
      </c>
    </row>
    <row r="21" ht="15" customHeight="1">
      <c r="B21" s="17" t="inlineStr">
        <is>
          <t>Adj EBITDA</t>
        </is>
      </c>
      <c r="C21" s="18" t="n">
        <v>256</v>
      </c>
      <c r="D21" s="18" t="n">
        <v>1280</v>
      </c>
      <c r="E21" s="18" t="n">
        <v>2976</v>
      </c>
      <c r="F21" s="18" t="n">
        <v>5088.9</v>
      </c>
      <c r="G21" s="18" t="n">
        <v>7365.6</v>
      </c>
      <c r="H21" s="18" t="n">
        <v>9086.4</v>
      </c>
      <c r="I21" s="18" t="n">
        <v>10808.9</v>
      </c>
    </row>
    <row r="22" ht="15" customHeight="1">
      <c r="B22" s="8" t="inlineStr">
        <is>
          <t>Adj EBITDA Margin</t>
        </is>
      </c>
      <c r="C22" s="11" t="inlineStr">
        <is>
          <t>8%</t>
        </is>
      </c>
      <c r="D22" s="11" t="inlineStr">
        <is>
          <t>20%</t>
        </is>
      </c>
      <c r="E22" s="11" t="inlineStr">
        <is>
          <t>30%</t>
        </is>
      </c>
      <c r="F22" s="11" t="inlineStr">
        <is>
          <t>38%</t>
        </is>
      </c>
      <c r="G22" s="11" t="inlineStr">
        <is>
          <t>44%</t>
        </is>
      </c>
      <c r="H22" s="11" t="inlineStr">
        <is>
          <t>46%</t>
        </is>
      </c>
      <c r="I22" s="11" t="inlineStr">
        <is>
          <t>48%</t>
        </is>
      </c>
    </row>
    <row r="23" ht="15" customHeight="1">
      <c r="B23" s="8" t="inlineStr">
        <is>
          <t>D&amp;A</t>
        </is>
      </c>
      <c r="C23" s="9" t="n">
        <v>1792</v>
      </c>
      <c r="D23" s="9" t="n">
        <v>3136</v>
      </c>
      <c r="E23" s="9" t="n">
        <v>4067.2</v>
      </c>
      <c r="F23" s="9" t="n">
        <v>4553.3</v>
      </c>
      <c r="G23" s="9" t="n">
        <v>5022</v>
      </c>
      <c r="H23" s="9" t="n">
        <v>5333.4</v>
      </c>
      <c r="I23" s="9" t="n">
        <v>5404.5</v>
      </c>
    </row>
    <row r="24" ht="15" customHeight="1">
      <c r="B24" s="8" t="inlineStr">
        <is>
          <t>EBIT (Adjusted)</t>
        </is>
      </c>
      <c r="C24" s="12" t="n">
        <v>-1536</v>
      </c>
      <c r="D24" s="12" t="n">
        <v>-1856</v>
      </c>
      <c r="E24" s="12" t="n">
        <v>-1091.2</v>
      </c>
      <c r="F24" s="9" t="n">
        <v>535.7</v>
      </c>
      <c r="G24" s="9" t="n">
        <v>2343.6</v>
      </c>
      <c r="H24" s="9" t="n">
        <v>3753.1</v>
      </c>
      <c r="I24" s="9" t="n">
        <v>5404.5</v>
      </c>
    </row>
    <row r="25" ht="15" customHeight="1">
      <c r="B25" s="8" t="inlineStr">
        <is>
          <t>Taxes on EBIT</t>
        </is>
      </c>
      <c r="C25" s="9" t="n">
        <v>192</v>
      </c>
      <c r="D25" s="9" t="n">
        <v>232</v>
      </c>
      <c r="E25" s="9" t="n">
        <v>136.4</v>
      </c>
      <c r="F25" s="12" t="n">
        <v>-67</v>
      </c>
      <c r="G25" s="12" t="n">
        <v>-292.9</v>
      </c>
      <c r="H25" s="12" t="n">
        <v>-469.1</v>
      </c>
      <c r="I25" s="12" t="n">
        <v>-675.6</v>
      </c>
    </row>
    <row r="26" ht="15" customHeight="1">
      <c r="B26" s="17" t="inlineStr">
        <is>
          <t>NOPAT</t>
        </is>
      </c>
      <c r="C26" s="33" t="n">
        <v>-1344</v>
      </c>
      <c r="D26" s="33" t="n">
        <v>-1624</v>
      </c>
      <c r="E26" s="33" t="n">
        <v>-954.8</v>
      </c>
      <c r="F26" s="18" t="n">
        <v>468.7</v>
      </c>
      <c r="G26" s="18" t="n">
        <v>2050.6</v>
      </c>
      <c r="H26" s="18" t="n">
        <v>3284</v>
      </c>
      <c r="I26" s="18" t="n">
        <v>4728.9</v>
      </c>
    </row>
    <row r="27" ht="15" customHeight="1">
      <c r="B27" s="8" t="inlineStr">
        <is>
          <t>Add: D&amp;A</t>
        </is>
      </c>
      <c r="C27" s="9" t="n">
        <v>1792</v>
      </c>
      <c r="D27" s="9" t="n">
        <v>3136</v>
      </c>
      <c r="E27" s="9" t="n">
        <v>4067.2</v>
      </c>
      <c r="F27" s="9" t="n">
        <v>4553.3</v>
      </c>
      <c r="G27" s="9" t="n">
        <v>5022</v>
      </c>
      <c r="H27" s="9" t="n">
        <v>5333.4</v>
      </c>
      <c r="I27" s="9" t="n">
        <v>5404.5</v>
      </c>
    </row>
    <row r="28" ht="15" customHeight="1">
      <c r="B28" s="8" t="inlineStr">
        <is>
          <t>Less: Net CapEx (est.)</t>
        </is>
      </c>
      <c r="C28" s="12" t="n">
        <v>-5760</v>
      </c>
      <c r="D28" s="12" t="n">
        <v>-7040</v>
      </c>
      <c r="E28" s="12" t="n">
        <v>-6944</v>
      </c>
      <c r="F28" s="12" t="n">
        <v>-7365.6</v>
      </c>
      <c r="G28" s="12" t="n">
        <v>-8370</v>
      </c>
      <c r="H28" s="12" t="n">
        <v>-8888.9</v>
      </c>
      <c r="I28" s="12" t="n">
        <v>-9007.4</v>
      </c>
    </row>
    <row r="29" ht="15" customHeight="1">
      <c r="B29" s="8" t="inlineStr">
        <is>
          <t>Less: Change in NWC</t>
        </is>
      </c>
      <c r="C29" s="12" t="n">
        <v>-53.4</v>
      </c>
      <c r="D29" s="12" t="n">
        <v>-64</v>
      </c>
      <c r="E29" s="12" t="n">
        <v>-70.40000000000001</v>
      </c>
      <c r="F29" s="12" t="n">
        <v>-69.40000000000001</v>
      </c>
      <c r="G29" s="12" t="n">
        <v>-67</v>
      </c>
      <c r="H29" s="12" t="n">
        <v>-60.3</v>
      </c>
      <c r="I29" s="12" t="n">
        <v>-55.3</v>
      </c>
    </row>
    <row r="30" ht="15" customHeight="1">
      <c r="B30" s="17" t="inlineStr">
        <is>
          <t>Unlevered FCF</t>
        </is>
      </c>
      <c r="C30" s="33" t="n">
        <v>-5365.4</v>
      </c>
      <c r="D30" s="33" t="n">
        <v>-5592</v>
      </c>
      <c r="E30" s="33" t="n">
        <v>-3902</v>
      </c>
      <c r="F30" s="33" t="n">
        <v>-2413</v>
      </c>
      <c r="G30" s="33" t="n">
        <v>-1364.3</v>
      </c>
      <c r="H30" s="33" t="n">
        <v>-331.9</v>
      </c>
      <c r="I30" s="18" t="n">
        <v>1070.6</v>
      </c>
    </row>
    <row r="31" ht="15" customHeight="1">
      <c r="B31" s="8" t="inlineStr">
        <is>
          <t>Discount Factor</t>
        </is>
      </c>
      <c r="C31" s="9" t="n">
        <v>0.8</v>
      </c>
      <c r="D31" s="9" t="n">
        <v>0.7</v>
      </c>
      <c r="E31" s="9" t="n">
        <v>0.6</v>
      </c>
      <c r="F31" s="9" t="n">
        <v>0.5</v>
      </c>
      <c r="G31" s="9" t="n">
        <v>0.4</v>
      </c>
      <c r="H31" s="9" t="n">
        <v>0.4</v>
      </c>
      <c r="I31" s="9" t="n">
        <v>0.3</v>
      </c>
    </row>
    <row r="32" ht="15" customHeight="1">
      <c r="B32" s="17" t="inlineStr">
        <is>
          <t>PV of FCF</t>
        </is>
      </c>
      <c r="C32" s="33" t="n">
        <v>-4507.5</v>
      </c>
      <c r="D32" s="33" t="n">
        <v>-3946.7</v>
      </c>
      <c r="E32" s="33" t="n">
        <v>-2313.6</v>
      </c>
      <c r="F32" s="33" t="n">
        <v>-1202</v>
      </c>
      <c r="G32" s="33" t="n">
        <v>-570.9</v>
      </c>
      <c r="H32" s="33" t="n">
        <v>-116.7</v>
      </c>
      <c r="I32" s="18" t="n">
        <v>316.2</v>
      </c>
    </row>
    <row r="34" ht="18" customHeight="1">
      <c r="B34" s="3" t="inlineStr">
        <is>
          <t>TERMINAL VALUE &amp; ENTERPRISE-TO-EQUITY BRIDGE ($M)</t>
        </is>
      </c>
    </row>
    <row r="36" ht="18" customHeight="1">
      <c r="B36" s="43" t="inlineStr">
        <is>
          <t>TERMINAL VALUE &amp; EQUITY BRIDGE ($M)</t>
        </is>
      </c>
      <c r="C36" s="44" t="n"/>
      <c r="D36" s="44" t="n"/>
    </row>
    <row r="37" ht="16" customHeight="1">
      <c r="B37" s="14" t="inlineStr">
        <is>
          <t>Item</t>
        </is>
      </c>
      <c r="C37" s="14" t="inlineStr">
        <is>
          <t>Value</t>
        </is>
      </c>
      <c r="D37" s="14" t="inlineStr">
        <is>
          <t>Notes</t>
        </is>
      </c>
    </row>
    <row r="38" ht="15" customHeight="1">
      <c r="B38" s="37" t="inlineStr">
        <is>
          <t>Method A: Perpetuity Growth</t>
        </is>
      </c>
      <c r="C38" s="45" t="n"/>
      <c r="D38" s="44" t="n"/>
    </row>
    <row r="39" ht="15" customHeight="1">
      <c r="B39" s="8" t="inlineStr">
        <is>
          <t xml:space="preserve">  Terminal FCF (FY2032E)</t>
        </is>
      </c>
      <c r="C39" s="46" t="n">
        <v>1070.62</v>
      </c>
      <c r="D39" s="44" t="n"/>
    </row>
    <row r="40" ht="15" customHeight="1">
      <c r="B40" s="8" t="inlineStr">
        <is>
          <t xml:space="preserve">  Terminal Growth Rate</t>
        </is>
      </c>
      <c r="C40" s="39" t="inlineStr">
        <is>
          <t>2.5%</t>
        </is>
      </c>
      <c r="D40" s="44" t="n"/>
    </row>
    <row r="41" ht="15" customHeight="1">
      <c r="B41" s="8" t="inlineStr">
        <is>
          <t xml:space="preserve">  WACC</t>
        </is>
      </c>
      <c r="C41" s="39" t="inlineStr">
        <is>
          <t>19.03%</t>
        </is>
      </c>
      <c r="D41" s="44" t="n"/>
    </row>
    <row r="42" ht="15" customHeight="1">
      <c r="B42" s="8" t="inlineStr">
        <is>
          <t xml:space="preserve">  Terminal Value (Perp)</t>
        </is>
      </c>
      <c r="C42" s="46" t="n">
        <v>6637.61</v>
      </c>
      <c r="D42" s="44" t="n"/>
    </row>
    <row r="43" ht="15" customHeight="1">
      <c r="B43" s="8" t="inlineStr">
        <is>
          <t xml:space="preserve">  PV of Terminal Value</t>
        </is>
      </c>
      <c r="C43" s="46" t="n">
        <v>1960.4</v>
      </c>
      <c r="D43" s="44" t="n"/>
    </row>
    <row r="44" ht="15" customHeight="1">
      <c r="B44" s="8" t="inlineStr">
        <is>
          <t xml:space="preserve">  TV as % of EV (Perp)</t>
        </is>
      </c>
      <c r="C44" s="39" t="inlineStr">
        <is>
          <t>N/M (EV negative)</t>
        </is>
      </c>
      <c r="D44" s="44" t="n"/>
    </row>
    <row r="45" ht="15" customHeight="1">
      <c r="B45" s="37" t="inlineStr">
        <is>
          <t>Method B: Exit Multiple (Primary)</t>
        </is>
      </c>
      <c r="C45" s="45" t="n"/>
      <c r="D45" s="44" t="n"/>
    </row>
    <row r="46" ht="15" customHeight="1">
      <c r="B46" s="8" t="inlineStr">
        <is>
          <t xml:space="preserve">  Terminal Adj EBITDA (FY2032E)</t>
        </is>
      </c>
      <c r="C46" s="46" t="n">
        <v>10808.92</v>
      </c>
      <c r="D46" s="44" t="n"/>
    </row>
    <row r="47" ht="15" customHeight="1">
      <c r="B47" s="8" t="inlineStr">
        <is>
          <t xml:space="preserve">  Exit EV/EBITDA Multiple</t>
        </is>
      </c>
      <c r="C47" s="39" t="inlineStr">
        <is>
          <t>18x</t>
        </is>
      </c>
      <c r="D47" s="44" t="n"/>
    </row>
    <row r="48" ht="15" customHeight="1">
      <c r="B48" s="8" t="inlineStr">
        <is>
          <t xml:space="preserve">  Terminal Value (Exit)</t>
        </is>
      </c>
      <c r="C48" s="46" t="n">
        <v>194560.63</v>
      </c>
      <c r="D48" s="44" t="n"/>
    </row>
    <row r="49" ht="15" customHeight="1">
      <c r="B49" s="8" t="inlineStr">
        <is>
          <t xml:space="preserve">  PV of Terminal Value (Exit)</t>
        </is>
      </c>
      <c r="C49" s="46" t="n">
        <v>57462.84</v>
      </c>
      <c r="D49" s="44" t="n"/>
    </row>
    <row r="50" ht="15" customHeight="1">
      <c r="B50" s="8" t="inlineStr">
        <is>
          <t xml:space="preserve">  TV as % of EV (Exit)</t>
        </is>
      </c>
      <c r="C50" s="39" t="inlineStr">
        <is>
          <t>127%</t>
        </is>
      </c>
      <c r="D50" s="44" t="n"/>
    </row>
    <row r="51" ht="15" customHeight="1">
      <c r="B51" s="37" t="inlineStr">
        <is>
          <t>Enterprise Value Bridge (Exit Method)</t>
        </is>
      </c>
      <c r="C51" s="45" t="n"/>
      <c r="D51" s="44" t="n"/>
    </row>
    <row r="52" ht="15" customHeight="1">
      <c r="B52" s="8" t="inlineStr">
        <is>
          <t xml:space="preserve">  PV of Projected FCFs (FY26-32)</t>
        </is>
      </c>
      <c r="C52" s="47" t="n">
        <v>-12341.13</v>
      </c>
      <c r="D52" s="44" t="n"/>
    </row>
    <row r="53" ht="15" customHeight="1">
      <c r="B53" s="8" t="inlineStr">
        <is>
          <t xml:space="preserve">  + PV of Terminal Value (Exit)</t>
        </is>
      </c>
      <c r="C53" s="46" t="n">
        <v>57462.84</v>
      </c>
      <c r="D53" s="44" t="n"/>
    </row>
    <row r="54" ht="15" customHeight="1">
      <c r="B54" s="8" t="inlineStr">
        <is>
          <t xml:space="preserve">  = Enterprise Value (Exit Method)</t>
        </is>
      </c>
      <c r="C54" s="46" t="n">
        <v>45121.71</v>
      </c>
      <c r="D54" s="44" t="n"/>
    </row>
    <row r="55" ht="15" customHeight="1">
      <c r="B55" s="8" t="inlineStr">
        <is>
          <t xml:space="preserve">  - Total Debt (market)</t>
        </is>
      </c>
      <c r="C55" s="47" t="n">
        <v>-8456.5</v>
      </c>
      <c r="D55" s="44" t="n"/>
    </row>
    <row r="56" ht="15" customHeight="1">
      <c r="B56" s="8" t="inlineStr">
        <is>
          <t xml:space="preserve">  + Cash &amp; Equivalents (Q1-26)</t>
        </is>
      </c>
      <c r="C56" s="46" t="n">
        <v>9298.200000000001</v>
      </c>
      <c r="D56" s="44" t="n"/>
    </row>
    <row r="57" ht="15" customHeight="1">
      <c r="B57" s="8" t="inlineStr">
        <is>
          <t xml:space="preserve">  = Equity Value</t>
        </is>
      </c>
      <c r="C57" s="46" t="n">
        <v>45963.41</v>
      </c>
      <c r="D57" s="44" t="n"/>
    </row>
    <row r="58" ht="15" customHeight="1">
      <c r="B58" s="8" t="inlineStr">
        <is>
          <t xml:space="preserve">  Diluted Shares Outstanding (M)</t>
        </is>
      </c>
      <c r="C58" s="46" t="n">
        <v>300</v>
      </c>
      <c r="D58" s="44" t="n"/>
    </row>
    <row r="59" ht="15" customHeight="1">
      <c r="B59" s="41" t="inlineStr">
        <is>
          <t>IMPLIED SHARE PRICE (Exit)</t>
        </is>
      </c>
      <c r="C59" s="48" t="n">
        <v>153.21</v>
      </c>
      <c r="D59" s="44" t="n"/>
    </row>
    <row r="60" ht="15" customHeight="1">
      <c r="B60" s="41" t="inlineStr">
        <is>
          <t>CURRENT PRICE</t>
        </is>
      </c>
      <c r="C60" s="48" t="n">
        <v>216.24</v>
      </c>
      <c r="D60" s="44" t="n"/>
    </row>
    <row r="61" ht="15" customHeight="1">
      <c r="B61" s="41" t="inlineStr">
        <is>
          <t>UPSIDE / (DOWNSIDE)</t>
        </is>
      </c>
      <c r="C61" s="49" t="n">
        <v>-0.29</v>
      </c>
      <c r="D61" s="44" t="n"/>
    </row>
  </sheetData>
  <mergeCells count="6">
    <mergeCell ref="B34:G34"/>
    <mergeCell ref="B5:D5"/>
    <mergeCell ref="B36:D36"/>
    <mergeCell ref="B3:L3"/>
    <mergeCell ref="B2:L2"/>
    <mergeCell ref="B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8" customHeight="1">
      <c r="B2" s="13" t="inlineStr">
        <is>
          <t>NEBIUS GROUP — SENSITIVITY ANALYSIS</t>
        </is>
      </c>
    </row>
    <row r="4">
      <c r="B4" s="43" t="inlineStr">
        <is>
          <t>TABLE 1: FY2026 Revenue Growth vs FY2032 Adj EBITDA Margin → Implied Share Price</t>
        </is>
      </c>
      <c r="C4" s="44" t="n"/>
      <c r="D4" s="44" t="n"/>
      <c r="E4" s="44" t="n"/>
      <c r="F4" s="44" t="n"/>
      <c r="G4" s="44" t="n"/>
    </row>
    <row r="5">
      <c r="B5" s="27" t="inlineStr">
        <is>
          <t>Rev Growth \ EBITDA Margin</t>
        </is>
      </c>
      <c r="C5" s="14" t="inlineStr">
        <is>
          <t>40%</t>
        </is>
      </c>
      <c r="D5" s="14" t="inlineStr">
        <is>
          <t>44%</t>
        </is>
      </c>
      <c r="E5" s="14" t="inlineStr">
        <is>
          <t>48%</t>
        </is>
      </c>
      <c r="F5" s="14" t="inlineStr">
        <is>
          <t>52%</t>
        </is>
      </c>
      <c r="G5" s="14" t="inlineStr">
        <is>
          <t>56%</t>
        </is>
      </c>
    </row>
    <row r="6" ht="15" customHeight="1">
      <c r="B6" s="14" t="inlineStr">
        <is>
          <t>3%</t>
        </is>
      </c>
      <c r="C6" s="50" t="n">
        <v>84</v>
      </c>
      <c r="D6" s="50" t="n">
        <v>95</v>
      </c>
      <c r="E6" s="50" t="n">
        <v>105</v>
      </c>
      <c r="F6" s="50" t="n">
        <v>116</v>
      </c>
      <c r="G6" s="50" t="n">
        <v>126</v>
      </c>
    </row>
    <row r="7" ht="15" customHeight="1">
      <c r="B7" s="14" t="inlineStr">
        <is>
          <t>4%</t>
        </is>
      </c>
      <c r="C7" s="50" t="n">
        <v>102</v>
      </c>
      <c r="D7" s="50" t="n">
        <v>116</v>
      </c>
      <c r="E7" s="50" t="n">
        <v>129</v>
      </c>
      <c r="F7" s="50" t="n">
        <v>142</v>
      </c>
      <c r="G7" s="50" t="n">
        <v>155</v>
      </c>
    </row>
    <row r="8" ht="15" customHeight="1">
      <c r="B8" s="14" t="inlineStr">
        <is>
          <t>5%</t>
        </is>
      </c>
      <c r="C8" s="50" t="n">
        <v>121</v>
      </c>
      <c r="D8" s="50" t="n">
        <v>137</v>
      </c>
      <c r="E8" s="51" t="n">
        <v>153</v>
      </c>
      <c r="F8" s="50" t="n">
        <v>169</v>
      </c>
      <c r="G8" s="50" t="n">
        <v>185</v>
      </c>
    </row>
    <row r="9" ht="15" customHeight="1">
      <c r="B9" s="14" t="inlineStr">
        <is>
          <t>6%</t>
        </is>
      </c>
      <c r="C9" s="50" t="n">
        <v>139</v>
      </c>
      <c r="D9" s="50" t="n">
        <v>157</v>
      </c>
      <c r="E9" s="50" t="n">
        <v>176</v>
      </c>
      <c r="F9" s="50" t="n">
        <v>194</v>
      </c>
      <c r="G9" s="50" t="n">
        <v>213</v>
      </c>
    </row>
    <row r="10" ht="15" customHeight="1">
      <c r="B10" s="14" t="inlineStr">
        <is>
          <t>7%</t>
        </is>
      </c>
      <c r="C10" s="50" t="n">
        <v>157</v>
      </c>
      <c r="D10" s="50" t="n">
        <v>178</v>
      </c>
      <c r="E10" s="50" t="n">
        <v>199</v>
      </c>
      <c r="F10" s="52" t="n">
        <v>221</v>
      </c>
      <c r="G10" s="52" t="n">
        <v>242</v>
      </c>
    </row>
    <row r="11">
      <c r="B11" s="44" t="n"/>
      <c r="C11" s="44" t="n"/>
      <c r="D11" s="44" t="n"/>
      <c r="E11" s="44" t="n"/>
      <c r="F11" s="44" t="n"/>
      <c r="G11" s="44" t="n"/>
    </row>
    <row r="12">
      <c r="B12" s="43" t="inlineStr">
        <is>
          <t>TABLE 2: WACC vs Exit EV/EBITDA Multiple → Implied Share Price</t>
        </is>
      </c>
      <c r="C12" s="44" t="n"/>
      <c r="D12" s="44" t="n"/>
      <c r="E12" s="44" t="n"/>
      <c r="F12" s="44" t="n"/>
      <c r="G12" s="44" t="n"/>
    </row>
    <row r="13">
      <c r="B13" s="27" t="inlineStr">
        <is>
          <t>WACC \ Exit Multiple</t>
        </is>
      </c>
      <c r="C13" s="14" t="inlineStr">
        <is>
          <t>12x</t>
        </is>
      </c>
      <c r="D13" s="14" t="inlineStr">
        <is>
          <t>15x</t>
        </is>
      </c>
      <c r="E13" s="14" t="inlineStr">
        <is>
          <t>18x</t>
        </is>
      </c>
      <c r="F13" s="14" t="inlineStr">
        <is>
          <t>22x</t>
        </is>
      </c>
      <c r="G13" s="14" t="inlineStr">
        <is>
          <t>26x</t>
        </is>
      </c>
    </row>
    <row r="14" ht="15" customHeight="1">
      <c r="B14" s="14" t="inlineStr">
        <is>
          <t>15%</t>
        </is>
      </c>
      <c r="C14" s="50" t="n">
        <v>121</v>
      </c>
      <c r="D14" s="50" t="n">
        <v>162</v>
      </c>
      <c r="E14" s="50" t="n">
        <v>202</v>
      </c>
      <c r="F14" s="52" t="n">
        <v>257</v>
      </c>
      <c r="G14" s="52" t="n">
        <v>311</v>
      </c>
    </row>
    <row r="15" ht="15" customHeight="1">
      <c r="B15" s="14" t="inlineStr">
        <is>
          <t>17%</t>
        </is>
      </c>
      <c r="C15" s="50" t="n">
        <v>104</v>
      </c>
      <c r="D15" s="50" t="n">
        <v>140</v>
      </c>
      <c r="E15" s="50" t="n">
        <v>176</v>
      </c>
      <c r="F15" s="52" t="n">
        <v>224</v>
      </c>
      <c r="G15" s="52" t="n">
        <v>272</v>
      </c>
    </row>
    <row r="16" ht="15" customHeight="1">
      <c r="B16" s="14" t="inlineStr">
        <is>
          <t>19%</t>
        </is>
      </c>
      <c r="C16" s="50" t="n">
        <v>90</v>
      </c>
      <c r="D16" s="50" t="n">
        <v>122</v>
      </c>
      <c r="E16" s="51" t="n">
        <v>154</v>
      </c>
      <c r="F16" s="50" t="n">
        <v>196</v>
      </c>
      <c r="G16" s="52" t="n">
        <v>239</v>
      </c>
    </row>
    <row r="17" ht="15" customHeight="1">
      <c r="B17" s="14" t="inlineStr">
        <is>
          <t>21%</t>
        </is>
      </c>
      <c r="C17" s="50" t="n">
        <v>77</v>
      </c>
      <c r="D17" s="50" t="n">
        <v>105</v>
      </c>
      <c r="E17" s="50" t="n">
        <v>134</v>
      </c>
      <c r="F17" s="50" t="n">
        <v>172</v>
      </c>
      <c r="G17" s="50" t="n">
        <v>210</v>
      </c>
    </row>
    <row r="18" ht="15" customHeight="1">
      <c r="B18" s="14" t="inlineStr">
        <is>
          <t>23%</t>
        </is>
      </c>
      <c r="C18" s="50" t="n">
        <v>66</v>
      </c>
      <c r="D18" s="50" t="n">
        <v>91</v>
      </c>
      <c r="E18" s="50" t="n">
        <v>117</v>
      </c>
      <c r="F18" s="50" t="n">
        <v>150</v>
      </c>
      <c r="G18" s="50" t="n">
        <v>184</v>
      </c>
    </row>
    <row r="19">
      <c r="B19" s="44" t="n"/>
      <c r="C19" s="44" t="n"/>
      <c r="D19" s="44" t="n"/>
      <c r="E19" s="44" t="n"/>
      <c r="F19" s="44" t="n"/>
      <c r="G19" s="44" t="n"/>
    </row>
    <row r="20">
      <c r="B20" s="43" t="inlineStr">
        <is>
          <t>TABLE 3: BULL / BASE / BEAR SCENARIO SUMMARY</t>
        </is>
      </c>
      <c r="C20" s="44" t="n"/>
      <c r="D20" s="44" t="n"/>
      <c r="E20" s="44" t="n"/>
      <c r="F20" s="44" t="n"/>
      <c r="G20" s="44" t="n"/>
    </row>
    <row r="21" ht="16" customHeight="1">
      <c r="B21" s="27" t="inlineStr">
        <is>
          <t>Metric</t>
        </is>
      </c>
      <c r="C21" s="53" t="inlineStr">
        <is>
          <t>Bull</t>
        </is>
      </c>
      <c r="D21" s="14" t="inlineStr">
        <is>
          <t>Base</t>
        </is>
      </c>
      <c r="E21" s="54" t="inlineStr">
        <is>
          <t>Bear</t>
        </is>
      </c>
      <c r="F21" s="44" t="n"/>
      <c r="G21" s="44" t="n"/>
    </row>
    <row r="22" ht="15" customHeight="1">
      <c r="B22" s="8" t="inlineStr">
        <is>
          <t>FY2026E Revenue</t>
        </is>
      </c>
      <c r="C22" s="55" t="n">
        <v>3200</v>
      </c>
      <c r="D22" s="55" t="n">
        <v>3200</v>
      </c>
      <c r="E22" s="55" t="n">
        <v>2384.1</v>
      </c>
      <c r="F22" s="44" t="n"/>
      <c r="G22" s="44" t="n"/>
    </row>
    <row r="23" ht="15" customHeight="1">
      <c r="B23" s="8" t="inlineStr">
        <is>
          <t>FY2027E Revenue</t>
        </is>
      </c>
      <c r="C23" s="55" t="n">
        <v>7040</v>
      </c>
      <c r="D23" s="55" t="n">
        <v>6400</v>
      </c>
      <c r="E23" s="55" t="n">
        <v>4053</v>
      </c>
      <c r="F23" s="44" t="n"/>
      <c r="G23" s="44" t="n"/>
    </row>
    <row r="24" ht="15" customHeight="1">
      <c r="B24" s="8" t="inlineStr">
        <is>
          <t>FY2030E Revenue</t>
        </is>
      </c>
      <c r="C24" s="55" t="n">
        <v>22559.6</v>
      </c>
      <c r="D24" s="55" t="n">
        <v>16740</v>
      </c>
      <c r="E24" s="55" t="n">
        <v>8369.4</v>
      </c>
      <c r="F24" s="44" t="n"/>
      <c r="G24" s="44" t="n"/>
    </row>
    <row r="25" ht="15" customHeight="1">
      <c r="B25" s="8" t="inlineStr">
        <is>
          <t>FY2026E EBITDA Margin</t>
        </is>
      </c>
      <c r="C25" s="56" t="n">
        <v>0.12</v>
      </c>
      <c r="D25" s="56" t="n">
        <v>0.08</v>
      </c>
      <c r="E25" s="56" t="n">
        <v>0.03</v>
      </c>
      <c r="F25" s="44" t="n"/>
      <c r="G25" s="44" t="n"/>
    </row>
    <row r="26" ht="15" customHeight="1">
      <c r="B26" s="8" t="inlineStr">
        <is>
          <t>FY2030E EBITDA Margin</t>
        </is>
      </c>
      <c r="C26" s="56" t="n">
        <v>0.48</v>
      </c>
      <c r="D26" s="56" t="n">
        <v>0.44</v>
      </c>
      <c r="E26" s="56" t="n">
        <v>0.35</v>
      </c>
      <c r="F26" s="44" t="n"/>
      <c r="G26" s="44" t="n"/>
    </row>
    <row r="27" ht="15" customHeight="1">
      <c r="B27" s="8" t="inlineStr">
        <is>
          <t>FY2030E Adj EBITDA</t>
        </is>
      </c>
      <c r="C27" s="55" t="n">
        <v>10828.6</v>
      </c>
      <c r="D27" s="55" t="n">
        <v>7365.6</v>
      </c>
      <c r="E27" s="55" t="n">
        <v>2929.3</v>
      </c>
      <c r="F27" s="44" t="n"/>
      <c r="G27" s="44" t="n"/>
    </row>
    <row r="28" ht="15" customHeight="1">
      <c r="B28" s="8" t="inlineStr">
        <is>
          <t>DCF Implied Price</t>
        </is>
      </c>
      <c r="C28" s="57" t="n">
        <v>272.1</v>
      </c>
      <c r="D28" s="57" t="n">
        <v>153.2</v>
      </c>
      <c r="E28" s="57" t="n">
        <v>42.9</v>
      </c>
      <c r="F28" s="44" t="n"/>
      <c r="G28" s="44" t="n"/>
    </row>
    <row r="29" ht="15" customHeight="1">
      <c r="B29" s="8" t="inlineStr">
        <is>
          <t>Upside / (Downside)</t>
        </is>
      </c>
      <c r="C29" s="58" t="n">
        <v>0.2581</v>
      </c>
      <c r="D29" s="59" t="n">
        <v>-0.2915</v>
      </c>
      <c r="E29" s="59" t="n">
        <v>-0.8017</v>
      </c>
      <c r="F29" s="44" t="n"/>
      <c r="G29" s="44" t="n"/>
    </row>
  </sheetData>
  <mergeCells count="4">
    <mergeCell ref="B2:L2"/>
    <mergeCell ref="B20:F20"/>
    <mergeCell ref="B4:H4"/>
    <mergeCell ref="B12:H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1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8" customWidth="1" min="3" max="3"/>
    <col width="11" customWidth="1" min="4" max="4"/>
    <col width="10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8" customWidth="1" min="12" max="12"/>
    <col width="12" customWidth="1" min="13" max="13"/>
  </cols>
  <sheetData>
    <row r="2" ht="28" customHeight="1">
      <c r="B2" s="13" t="inlineStr">
        <is>
          <t>NEBIUS GROUP — COMPARABLE COMPANIES ANALYSIS</t>
        </is>
      </c>
    </row>
    <row r="3">
      <c r="B3" s="2" t="inlineStr">
        <is>
          <t>AI Cloud / GPU Infrastructure Peers | Data as of May 2026 | NTM = Next Twelve Months</t>
        </is>
      </c>
    </row>
    <row r="5" ht="28" customHeight="1">
      <c r="B5" s="60" t="inlineStr">
        <is>
          <t>Company</t>
        </is>
      </c>
      <c r="C5" s="60" t="inlineStr">
        <is>
          <t>Ticker</t>
        </is>
      </c>
      <c r="D5" s="60" t="inlineStr">
        <is>
          <t>Mkt Cap ($B)</t>
        </is>
      </c>
      <c r="E5" s="60" t="inlineStr">
        <is>
          <t>EV ($B)</t>
        </is>
      </c>
      <c r="F5" s="60" t="inlineStr">
        <is>
          <t>NTM Rev ($B)</t>
        </is>
      </c>
      <c r="G5" s="60" t="inlineStr">
        <is>
          <t>EV/NTM Rev</t>
        </is>
      </c>
      <c r="H5" s="60" t="inlineStr">
        <is>
          <t>EV/NTM EBITDA</t>
        </is>
      </c>
      <c r="I5" s="60" t="inlineStr">
        <is>
          <t>P/S</t>
        </is>
      </c>
      <c r="J5" s="60" t="inlineStr">
        <is>
          <t>Rev Growth</t>
        </is>
      </c>
      <c r="K5" s="60" t="inlineStr">
        <is>
          <t>EBITDA Mgn</t>
        </is>
      </c>
      <c r="L5" s="60" t="inlineStr">
        <is>
          <t>Notes</t>
        </is>
      </c>
      <c r="M5" s="60" t="inlineStr">
        <is>
          <t>Tier</t>
        </is>
      </c>
    </row>
    <row r="6" ht="16" customHeight="1">
      <c r="B6" s="8" t="inlineStr">
        <is>
          <t>CoreWeave</t>
        </is>
      </c>
      <c r="C6" s="61" t="inlineStr">
        <is>
          <t>CRWV</t>
        </is>
      </c>
      <c r="D6" s="62" t="n">
        <v>65</v>
      </c>
      <c r="E6" s="62" t="n">
        <v>75</v>
      </c>
      <c r="F6" s="62" t="n">
        <v>8</v>
      </c>
      <c r="G6" s="61" t="inlineStr">
        <is>
          <t>9.4x</t>
        </is>
      </c>
      <c r="H6" s="61" t="inlineStr">
        <is>
          <t>N/M</t>
        </is>
      </c>
      <c r="I6" s="61" t="inlineStr">
        <is>
          <t>9.4x</t>
        </is>
      </c>
      <c r="J6" s="61" t="inlineStr">
        <is>
          <t>320%+</t>
        </is>
      </c>
      <c r="K6" s="61" t="inlineStr">
        <is>
          <t>Neg.</t>
        </is>
      </c>
      <c r="L6" s="61" t="inlineStr">
        <is>
          <t>Direct pure-play neocloud</t>
        </is>
      </c>
      <c r="M6" s="61" t="inlineStr">
        <is>
          <t>Platinum</t>
        </is>
      </c>
    </row>
    <row r="7" ht="16" customHeight="1">
      <c r="B7" s="8" t="inlineStr">
        <is>
          <t>Applied Digital</t>
        </is>
      </c>
      <c r="C7" s="61" t="inlineStr">
        <is>
          <t>APLD</t>
        </is>
      </c>
      <c r="D7" s="62" t="n">
        <v>2.5</v>
      </c>
      <c r="E7" s="62" t="n">
        <v>3.5</v>
      </c>
      <c r="F7" s="62" t="n">
        <v>0.8</v>
      </c>
      <c r="G7" s="61" t="inlineStr">
        <is>
          <t>4.4x</t>
        </is>
      </c>
      <c r="H7" s="61" t="inlineStr">
        <is>
          <t>N/M</t>
        </is>
      </c>
      <c r="I7" s="61" t="inlineStr">
        <is>
          <t>4.4x</t>
        </is>
      </c>
      <c r="J7" s="61" t="inlineStr">
        <is>
          <t>150%</t>
        </is>
      </c>
      <c r="K7" s="61" t="inlineStr">
        <is>
          <t>Neg.</t>
        </is>
      </c>
      <c r="L7" s="61" t="inlineStr">
        <is>
          <t>GPU cloud / HPC data centers</t>
        </is>
      </c>
      <c r="M7" s="61" t="inlineStr">
        <is>
          <t>Gold</t>
        </is>
      </c>
    </row>
    <row r="8" ht="16" customHeight="1">
      <c r="B8" s="8" t="inlineStr">
        <is>
          <t>Hive Digital</t>
        </is>
      </c>
      <c r="C8" s="61" t="inlineStr">
        <is>
          <t>HIVE</t>
        </is>
      </c>
      <c r="D8" s="62" t="n">
        <v>0.6</v>
      </c>
      <c r="E8" s="62" t="n">
        <v>0.7</v>
      </c>
      <c r="F8" s="62" t="n">
        <v>0.2</v>
      </c>
      <c r="G8" s="61" t="inlineStr">
        <is>
          <t>3.5x</t>
        </is>
      </c>
      <c r="H8" s="61" t="inlineStr">
        <is>
          <t>N/M</t>
        </is>
      </c>
      <c r="I8" s="61" t="inlineStr">
        <is>
          <t>3.5x</t>
        </is>
      </c>
      <c r="J8" s="61" t="inlineStr">
        <is>
          <t>80%</t>
        </is>
      </c>
      <c r="K8" s="61" t="inlineStr">
        <is>
          <t>Neg.</t>
        </is>
      </c>
      <c r="L8" s="61" t="inlineStr">
        <is>
          <t>Crypto → AI pivot</t>
        </is>
      </c>
      <c r="M8" s="61" t="inlineStr">
        <is>
          <t>Silver</t>
        </is>
      </c>
    </row>
    <row r="9" ht="16" customHeight="1">
      <c r="B9" s="8" t="inlineStr">
        <is>
          <t>Lambda Labs</t>
        </is>
      </c>
      <c r="C9" s="61" t="inlineStr">
        <is>
          <t>Private</t>
        </is>
      </c>
      <c r="D9" s="61" t="n"/>
      <c r="E9" s="61" t="n"/>
      <c r="F9" s="62" t="n">
        <v>2.5</v>
      </c>
      <c r="G9" s="61" t="inlineStr">
        <is>
          <t>N/A</t>
        </is>
      </c>
      <c r="H9" s="61" t="inlineStr">
        <is>
          <t>N/A</t>
        </is>
      </c>
      <c r="I9" s="61" t="inlineStr">
        <is>
          <t>N/A</t>
        </is>
      </c>
      <c r="J9" s="61" t="inlineStr">
        <is>
          <t>200%+</t>
        </is>
      </c>
      <c r="K9" s="61" t="inlineStr">
        <is>
          <t>Neg.</t>
        </is>
      </c>
      <c r="L9" s="61" t="inlineStr">
        <is>
          <t>AI cloud; Nvidia backed, private</t>
        </is>
      </c>
      <c r="M9" s="61" t="inlineStr">
        <is>
          <t>Neocloud</t>
        </is>
      </c>
    </row>
    <row r="10" ht="16" customHeight="1">
      <c r="B10" s="8" t="inlineStr">
        <is>
          <t>Liqid/Coreweave-type</t>
        </is>
      </c>
      <c r="C10" s="61" t="inlineStr">
        <is>
          <t>Various</t>
        </is>
      </c>
      <c r="D10" s="61" t="n"/>
      <c r="E10" s="61" t="n"/>
      <c r="F10" s="61" t="n"/>
      <c r="G10" s="61" t="inlineStr">
        <is>
          <t>6-10x</t>
        </is>
      </c>
      <c r="H10" s="61" t="inlineStr">
        <is>
          <t>N/M</t>
        </is>
      </c>
      <c r="I10" s="61" t="inlineStr">
        <is>
          <t>6-10x</t>
        </is>
      </c>
      <c r="J10" s="61" t="inlineStr">
        <is>
          <t>100%+</t>
        </is>
      </c>
      <c r="K10" s="61" t="inlineStr">
        <is>
          <t>Neg.</t>
        </is>
      </c>
      <c r="L10" s="61" t="inlineStr">
        <is>
          <t>AI infra category avg.</t>
        </is>
      </c>
      <c r="M10" s="61" t="inlineStr">
        <is>
          <t>Category</t>
        </is>
      </c>
    </row>
    <row r="11" ht="16" customHeight="1">
      <c r="B11" s="8" t="inlineStr">
        <is>
          <t>Amazon AWS (proxy)</t>
        </is>
      </c>
      <c r="C11" s="61" t="inlineStr">
        <is>
          <t>AMZN</t>
        </is>
      </c>
      <c r="D11" s="62" t="n">
        <v>2200</v>
      </c>
      <c r="E11" s="62" t="n">
        <v>2400</v>
      </c>
      <c r="F11" s="62" t="n">
        <v>115</v>
      </c>
      <c r="G11" s="61" t="inlineStr">
        <is>
          <t>4.0x</t>
        </is>
      </c>
      <c r="H11" s="61" t="inlineStr">
        <is>
          <t>18x</t>
        </is>
      </c>
      <c r="I11" s="61" t="inlineStr">
        <is>
          <t>4.0x</t>
        </is>
      </c>
      <c r="J11" s="61" t="inlineStr">
        <is>
          <t>18%</t>
        </is>
      </c>
      <c r="K11" s="61" t="inlineStr">
        <is>
          <t>35%</t>
        </is>
      </c>
      <c r="L11" s="61" t="inlineStr">
        <is>
          <t>Hyperscaler benchmark</t>
        </is>
      </c>
      <c r="M11" s="61" t="inlineStr">
        <is>
          <t>Hyperscaler</t>
        </is>
      </c>
    </row>
    <row r="12" ht="16" customHeight="1">
      <c r="B12" s="8" t="inlineStr">
        <is>
          <t>Microsoft Azure (proxy)</t>
        </is>
      </c>
      <c r="C12" s="61" t="inlineStr">
        <is>
          <t>MSFT</t>
        </is>
      </c>
      <c r="D12" s="62" t="n">
        <v>3200</v>
      </c>
      <c r="E12" s="62" t="n">
        <v>3300</v>
      </c>
      <c r="F12" s="62" t="n">
        <v>130</v>
      </c>
      <c r="G12" s="61" t="inlineStr">
        <is>
          <t>6.0x</t>
        </is>
      </c>
      <c r="H12" s="61" t="inlineStr">
        <is>
          <t>24x</t>
        </is>
      </c>
      <c r="I12" s="61" t="inlineStr">
        <is>
          <t>6.0x</t>
        </is>
      </c>
      <c r="J12" s="61" t="inlineStr">
        <is>
          <t>20%</t>
        </is>
      </c>
      <c r="K12" s="61" t="inlineStr">
        <is>
          <t>40%</t>
        </is>
      </c>
      <c r="L12" s="61" t="inlineStr">
        <is>
          <t>Hyperscaler benchmark</t>
        </is>
      </c>
      <c r="M12" s="61" t="inlineStr">
        <is>
          <t>Hyperscaler</t>
        </is>
      </c>
    </row>
    <row r="13" ht="16" customHeight="1">
      <c r="B13" s="8" t="inlineStr">
        <is>
          <t>Google Cloud (proxy)</t>
        </is>
      </c>
      <c r="C13" s="61" t="inlineStr">
        <is>
          <t>GOOGL</t>
        </is>
      </c>
      <c r="D13" s="62" t="n">
        <v>2100</v>
      </c>
      <c r="E13" s="62" t="n">
        <v>2050</v>
      </c>
      <c r="F13" s="62" t="n">
        <v>85</v>
      </c>
      <c r="G13" s="61" t="inlineStr">
        <is>
          <t>4.8x</t>
        </is>
      </c>
      <c r="H13" s="61" t="inlineStr">
        <is>
          <t>20x</t>
        </is>
      </c>
      <c r="I13" s="61" t="inlineStr">
        <is>
          <t>4.8x</t>
        </is>
      </c>
      <c r="J13" s="61" t="inlineStr">
        <is>
          <t>28%</t>
        </is>
      </c>
      <c r="K13" s="61" t="inlineStr">
        <is>
          <t>17%</t>
        </is>
      </c>
      <c r="L13" s="61" t="inlineStr">
        <is>
          <t>Hyperscaler benchmark</t>
        </is>
      </c>
      <c r="M13" s="61" t="inlineStr">
        <is>
          <t>Hyperscaler</t>
        </is>
      </c>
    </row>
    <row r="14" ht="16" customHeight="1">
      <c r="B14" s="17" t="inlineStr">
        <is>
          <t>NBIS (subject)</t>
        </is>
      </c>
      <c r="C14" s="63" t="inlineStr">
        <is>
          <t>NBIS</t>
        </is>
      </c>
      <c r="D14" s="64" t="n">
        <v>51.9</v>
      </c>
      <c r="E14" s="64" t="n">
        <v>59</v>
      </c>
      <c r="F14" s="64" t="n">
        <v>3.2</v>
      </c>
      <c r="G14" s="63" t="inlineStr">
        <is>
          <t>18.4x</t>
        </is>
      </c>
      <c r="H14" s="63" t="inlineStr">
        <is>
          <t>N/M</t>
        </is>
      </c>
      <c r="I14" s="63" t="inlineStr">
        <is>
          <t>16.2x</t>
        </is>
      </c>
      <c r="J14" s="63" t="inlineStr">
        <is>
          <t>504%</t>
        </is>
      </c>
      <c r="K14" s="63" t="inlineStr">
        <is>
          <t>8%</t>
        </is>
      </c>
      <c r="L14" s="63" t="inlineStr">
        <is>
          <t>— SUBJECT COMPANY —</t>
        </is>
      </c>
      <c r="M14" s="63" t="inlineStr">
        <is>
          <t>Neocloud</t>
        </is>
      </c>
    </row>
    <row r="15" ht="16" customHeight="1">
      <c r="B15" s="65" t="inlineStr">
        <is>
          <t>Neocloud Peer Median</t>
        </is>
      </c>
      <c r="C15" s="14" t="inlineStr"/>
      <c r="D15" s="14" t="inlineStr"/>
      <c r="E15" s="14" t="inlineStr"/>
      <c r="F15" s="14" t="inlineStr"/>
      <c r="G15" s="14" t="inlineStr">
        <is>
          <t>~7x</t>
        </is>
      </c>
      <c r="H15" s="14" t="inlineStr">
        <is>
          <t>N/M</t>
        </is>
      </c>
      <c r="I15" s="14" t="inlineStr">
        <is>
          <t>~7x</t>
        </is>
      </c>
      <c r="J15" s="14" t="inlineStr">
        <is>
          <t>200%+</t>
        </is>
      </c>
      <c r="K15" s="14" t="inlineStr">
        <is>
          <t>Neg.</t>
        </is>
      </c>
      <c r="L15" s="14" t="inlineStr">
        <is>
          <t>Median of neoclouds</t>
        </is>
      </c>
      <c r="M15" s="14" t="inlineStr"/>
    </row>
    <row r="16"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</row>
    <row r="17" ht="52" customHeight="1">
      <c r="B17" s="66" t="inlineStr">
        <is>
          <t>VALUATION NOTE: NBIS trades at ~16x NTM P/S versus ~7x median neocloud peer. The premium reflects: (1) NVIDIA strategic partnership &amp; $2B equity backing, (2) $7-9B ARR exit-2026 guidance, (3) 3 GW contracted power (infrastructure moat), (4) $9.3B balance sheet war chest. On a NTM+1 (FY2027) P/S basis, NBIS at ~8x is in-line with CoreWeave, suggesting market is pricing the ARR trajectory correctly.</t>
        </is>
      </c>
    </row>
  </sheetData>
  <mergeCells count="3">
    <mergeCell ref="B3:O3"/>
    <mergeCell ref="B2:O2"/>
    <mergeCell ref="B17:M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28" customWidth="1" min="4" max="4"/>
    <col width="16" customWidth="1" min="5" max="5"/>
    <col width="16" customWidth="1" min="6" max="6"/>
    <col width="20" customWidth="1" min="7" max="7"/>
    <col width="24" customWidth="1" min="8" max="8"/>
    <col width="26" customWidth="1" min="9" max="9"/>
  </cols>
  <sheetData>
    <row r="2" ht="30" customHeight="1">
      <c r="B2" s="67" t="inlineStr">
        <is>
          <t>NBIS INVESTMENT THESIS TRACKER — Pillars · Risks · Catalysts · KPIs</t>
        </is>
      </c>
    </row>
    <row r="3">
      <c r="B3" s="2" t="inlineStr">
        <is>
          <t>Initiating Coverage | Rating: HOLD | Price Target: $180 | Current: $216.24 | Updated: May 22, 2026</t>
        </is>
      </c>
    </row>
    <row r="5" ht="20" customHeight="1">
      <c r="B5" s="3" t="inlineStr">
        <is>
          <t>INVESTMENT THESIS PILLARS</t>
        </is>
      </c>
    </row>
    <row r="6" ht="16" customHeight="1">
      <c r="B6" s="14" t="inlineStr">
        <is>
          <t>#</t>
        </is>
      </c>
      <c r="C6" s="14" t="inlineStr">
        <is>
          <t>Pillar</t>
        </is>
      </c>
      <c r="D6" s="14" t="inlineStr">
        <is>
          <t>Description</t>
        </is>
      </c>
      <c r="E6" s="14" t="inlineStr">
        <is>
          <t>Evidence</t>
        </is>
      </c>
      <c r="F6" s="14" t="inlineStr">
        <is>
          <t>Status</t>
        </is>
      </c>
    </row>
    <row r="7" ht="50" customHeight="1">
      <c r="B7" s="68" t="inlineStr">
        <is>
          <t>P1</t>
        </is>
      </c>
      <c r="C7" s="69" t="inlineStr">
        <is>
          <t>NVIDIA Strategic Moat</t>
        </is>
      </c>
      <c r="D7" s="70" t="inlineStr">
        <is>
          <t>Nvidia is both an equity investor ($2B, Mar 2026) and technology partner, providing early access to GB200/Blackwell GPUs. This creates a durable cost and performance advantage over unaffiliated neoclouds.</t>
        </is>
      </c>
      <c r="E7" s="70" t="inlineStr">
        <is>
          <t>NVDA $2B equity investment (Mar-26); Nvidia AI Enterprise suite integration; co-engineering on fleet management &amp; MLOps</t>
        </is>
      </c>
      <c r="F7" s="70" t="inlineStr">
        <is>
          <t>✅ Confirmed</t>
        </is>
      </c>
    </row>
    <row r="8" ht="50" customHeight="1">
      <c r="B8" s="68" t="inlineStr">
        <is>
          <t>P2</t>
        </is>
      </c>
      <c r="C8" s="69" t="inlineStr">
        <is>
          <t>Hyperscaler Contract Velocity</t>
        </is>
      </c>
      <c r="D8" s="70" t="inlineStr">
        <is>
          <t>Multi-year take-or-pay contracts with hyperscalers (Microsoft: $17-19B through 2031) de-risk the revenue ramp and provide clarity on utilization rates.</t>
        </is>
      </c>
      <c r="E8" s="70" t="inlineStr">
        <is>
          <t>Microsoft contract: $17.4-19.4B through 2031; large deferred revenue balance ($4.8B as of Q1-26)</t>
        </is>
      </c>
      <c r="F8" s="70" t="inlineStr">
        <is>
          <t>✅ Confirmed</t>
        </is>
      </c>
    </row>
    <row r="9" ht="50" customHeight="1">
      <c r="B9" s="71" t="inlineStr">
        <is>
          <t>P3</t>
        </is>
      </c>
      <c r="C9" s="72" t="inlineStr">
        <is>
          <t>Infrastructure Scale &amp; Power</t>
        </is>
      </c>
      <c r="D9" s="73" t="inlineStr">
        <is>
          <t>Securing &gt;3 GW of contracted power by end-2026 and 1.2 GW at the Pennsylvania AI Factory is a capital-intensive moat. Power scarcity is the key bottleneck in GPU cloud.</t>
        </is>
      </c>
      <c r="E9" s="73" t="inlineStr">
        <is>
          <t>Pennsylvania AI factory (1.2 GW); 9 new EMEA/US sites; &gt;3 GW total contracted (Feb-26 guidance)</t>
        </is>
      </c>
      <c r="F9" s="73" t="inlineStr">
        <is>
          <t>🔄 Executing</t>
        </is>
      </c>
    </row>
    <row r="10" ht="50" customHeight="1">
      <c r="B10" s="68" t="inlineStr">
        <is>
          <t>P4</t>
        </is>
      </c>
      <c r="C10" s="69" t="inlineStr">
        <is>
          <t>ARR Acceleration Trajectory</t>
        </is>
      </c>
      <c r="D10" s="70" t="inlineStr">
        <is>
          <t>ARR grew from $90M (FY2024) to $1.92B (Q1-26), demonstrating near-peak GPU utilization and sticky enterprise demand. Management track record of beating guidance.</t>
        </is>
      </c>
      <c r="E10" s="70" t="inlineStr">
        <is>
          <t>FY2025 ARR: $1.25B vs $0.9-1.1B guidance; Q1-26 ARR $1.92B (+54% QoQ, +674% YoY)</t>
        </is>
      </c>
      <c r="F10" s="70" t="inlineStr">
        <is>
          <t>✅ Confirmed</t>
        </is>
      </c>
    </row>
    <row r="11" ht="50" customHeight="1">
      <c r="B11" s="71" t="inlineStr">
        <is>
          <t>P5</t>
        </is>
      </c>
      <c r="C11" s="72" t="inlineStr">
        <is>
          <t>Margin Expansion Path</t>
        </is>
      </c>
      <c r="D11" s="73" t="inlineStr">
        <is>
          <t>As scale increases and GPU utilization saturates at &gt;90%, fixed cost leverage should drive Adj EBITDA margin toward 40-50% by 2029-2030, in line with hyperscaler cloud margins.</t>
        </is>
      </c>
      <c r="E11" s="73" t="inlineStr">
        <is>
          <t>Q1-26 Adj EBITDA margin: 32% vs -12% in FY2025 — proving operating leverage is real</t>
        </is>
      </c>
      <c r="F11" s="73" t="inlineStr">
        <is>
          <t>🔄 Emerging</t>
        </is>
      </c>
    </row>
    <row r="12" ht="50" customHeight="1">
      <c r="B12" s="74" t="inlineStr">
        <is>
          <t>P6</t>
        </is>
      </c>
      <c r="C12" s="75" t="inlineStr">
        <is>
          <t>Portfolio Optionality (Sum-of-Parts)</t>
        </is>
      </c>
      <c r="D12" s="76" t="inlineStr">
        <is>
          <t>Avride (AV), Toloka (AI data), TripleTen (EdTech), and ClickHouse stakes provide unaccounted upside optionality beyond the core AI cloud.</t>
        </is>
      </c>
      <c r="E12" s="76" t="inlineStr">
        <is>
          <t>Investments in equity securities: $836.6M on FY2025 BS (marked-to-market; Toloka decons.)</t>
        </is>
      </c>
      <c r="F12" s="76" t="inlineStr">
        <is>
          <t>⏳ Latent</t>
        </is>
      </c>
    </row>
    <row r="14" ht="20" customHeight="1">
      <c r="B14" s="3" t="inlineStr">
        <is>
          <t>KEY RISKS</t>
        </is>
      </c>
    </row>
    <row r="15" ht="16" customHeight="1">
      <c r="B15" s="54" t="inlineStr">
        <is>
          <t>#</t>
        </is>
      </c>
      <c r="C15" s="54" t="inlineStr">
        <is>
          <t>Risk</t>
        </is>
      </c>
      <c r="D15" s="54" t="inlineStr">
        <is>
          <t>Description</t>
        </is>
      </c>
      <c r="E15" s="54" t="inlineStr">
        <is>
          <t>Probability</t>
        </is>
      </c>
      <c r="F15" s="54" t="inlineStr">
        <is>
          <t>Severity</t>
        </is>
      </c>
      <c r="G15" s="54" t="inlineStr">
        <is>
          <t>Mitigant</t>
        </is>
      </c>
    </row>
    <row r="16" ht="50" customHeight="1">
      <c r="B16" s="71" t="inlineStr">
        <is>
          <t>R1</t>
        </is>
      </c>
      <c r="C16" s="72" t="inlineStr">
        <is>
          <t>CapEx Overrun / Execution Risk</t>
        </is>
      </c>
      <c r="D16" s="73" t="inlineStr">
        <is>
          <t>$20-25B FY2026 CapEx is contingent on timely power procurement, GPU delivery, and permitting. Delays push revenue recognition.</t>
        </is>
      </c>
      <c r="E16" s="73" t="inlineStr">
        <is>
          <t>Medium</t>
        </is>
      </c>
      <c r="F16" s="73" t="inlineStr">
        <is>
          <t>High</t>
        </is>
      </c>
      <c r="G16" s="73" t="inlineStr">
        <is>
          <t>Long-term power contracts signed; Nvidia supply priority; management track record beating guidance</t>
        </is>
      </c>
    </row>
    <row r="17" ht="50" customHeight="1">
      <c r="B17" s="74" t="inlineStr">
        <is>
          <t>R2</t>
        </is>
      </c>
      <c r="C17" s="75" t="inlineStr">
        <is>
          <t>Dilution from Convertible Notes &amp; Warrants</t>
        </is>
      </c>
      <c r="D17" s="76" t="inlineStr">
        <is>
          <t>$4.34B convertible notes + $2B prefunded warrants (Q1-26) create material dilution risk. ~75-100M+ additional shares at conversion.</t>
        </is>
      </c>
      <c r="E17" s="76" t="inlineStr">
        <is>
          <t>High</t>
        </is>
      </c>
      <c r="F17" s="76" t="inlineStr">
        <is>
          <t>Medium</t>
        </is>
      </c>
      <c r="G17" s="76" t="inlineStr">
        <is>
          <t>Anti-dilution focus flagged by mgmt; some warrants may be settled in cash</t>
        </is>
      </c>
    </row>
    <row r="18" ht="50" customHeight="1">
      <c r="B18" s="77" t="inlineStr">
        <is>
          <t>R3</t>
        </is>
      </c>
      <c r="C18" s="78" t="inlineStr">
        <is>
          <t>Customer Concentration</t>
        </is>
      </c>
      <c r="D18" s="79" t="inlineStr">
        <is>
          <t>Large prepayment contracts (deferred rev: $4.8B) suggest few very large customers. Loss/renegotiation of one contract is material.</t>
        </is>
      </c>
      <c r="E18" s="79" t="inlineStr">
        <is>
          <t>Low-Medium</t>
        </is>
      </c>
      <c r="F18" s="79" t="inlineStr">
        <is>
          <t>Very High</t>
        </is>
      </c>
      <c r="G18" s="79" t="inlineStr">
        <is>
          <t>Multi-year take-or-pay structure; Microsoft contract documented through 2031</t>
        </is>
      </c>
    </row>
    <row r="19" ht="50" customHeight="1">
      <c r="B19" s="71" t="inlineStr">
        <is>
          <t>R4</t>
        </is>
      </c>
      <c r="C19" s="72" t="inlineStr">
        <is>
          <t>Hyperscaler Vertical Integration</t>
        </is>
      </c>
      <c r="D19" s="73" t="inlineStr">
        <is>
          <t>AWS, Azure, Google are building their own AI chips (Trainium, Maia, TPUs). Commoditization of GPU cloud could compress pricing.</t>
        </is>
      </c>
      <c r="E19" s="73" t="inlineStr">
        <is>
          <t>Medium</t>
        </is>
      </c>
      <c r="F19" s="73" t="inlineStr">
        <is>
          <t>High</t>
        </is>
      </c>
      <c r="G19" s="73" t="inlineStr">
        <is>
          <t>NBIS targets AI-native workloads (training/inference) not suitable for TPUs; Nvidia ecosystem lock-in</t>
        </is>
      </c>
    </row>
    <row r="20" ht="50" customHeight="1">
      <c r="B20" s="74" t="inlineStr">
        <is>
          <t>R5</t>
        </is>
      </c>
      <c r="C20" s="75" t="inlineStr">
        <is>
          <t>GPU Price War / Margin Compression</t>
        </is>
      </c>
      <c r="D20" s="76" t="inlineStr">
        <is>
          <t>As GPU supply increases (TSMC N3 ramp), rental rates per H100/GB200 could decline, compressing revenue per GPU.</t>
        </is>
      </c>
      <c r="E20" s="76" t="inlineStr">
        <is>
          <t>Medium</t>
        </is>
      </c>
      <c r="F20" s="76" t="inlineStr">
        <is>
          <t>Medium</t>
        </is>
      </c>
      <c r="G20" s="76" t="inlineStr">
        <is>
          <t>Locked-in multi-year contracts at fixed pricing; shift to newer GPUs maintains revenue/GPU</t>
        </is>
      </c>
    </row>
    <row r="21" ht="50" customHeight="1">
      <c r="B21" s="71" t="inlineStr">
        <is>
          <t>R6</t>
        </is>
      </c>
      <c r="C21" s="72" t="inlineStr">
        <is>
          <t>Regulatory &amp; Geopolitical Risk</t>
        </is>
      </c>
      <c r="D21" s="73" t="inlineStr">
        <is>
          <t>Dutch-incorporated entity with operations in Finland, Israel, US. Sanctions exposure (prior Yandex heritage), EU AI Act implications.</t>
        </is>
      </c>
      <c r="E21" s="73" t="inlineStr">
        <is>
          <t>Low</t>
        </is>
      </c>
      <c r="F21" s="73" t="inlineStr">
        <is>
          <t>High</t>
        </is>
      </c>
      <c r="G21" s="73" t="inlineStr">
        <is>
          <t>Post-divestiture of Russian operations; management team largely ex-European/Israeli</t>
        </is>
      </c>
    </row>
    <row r="22" ht="50" customHeight="1">
      <c r="B22" s="71" t="inlineStr">
        <is>
          <t>R7</t>
        </is>
      </c>
      <c r="C22" s="72" t="inlineStr">
        <is>
          <t>Valuation Risk (Premium Priced)</t>
        </is>
      </c>
      <c r="D22" s="73" t="inlineStr">
        <is>
          <t>At $216/share, NBIS prices in near-perfect execution. Any guidance miss (as in Q4-25: -8% surprise) leads to severe de-rating.</t>
        </is>
      </c>
      <c r="E22" s="73" t="inlineStr">
        <is>
          <t>High</t>
        </is>
      </c>
      <c r="F22" s="73" t="inlineStr">
        <is>
          <t>High</t>
        </is>
      </c>
      <c r="G22" s="73" t="inlineStr">
        <is>
          <t>Partially offset by $9.3B cash fortress; PT well below current suggests short-term caution</t>
        </is>
      </c>
    </row>
    <row r="24" ht="20" customHeight="1">
      <c r="B24" s="3" t="inlineStr">
        <is>
          <t>KEY CATALYSTS</t>
        </is>
      </c>
    </row>
    <row r="25" ht="16" customHeight="1">
      <c r="B25" s="53" t="inlineStr">
        <is>
          <t>#</t>
        </is>
      </c>
      <c r="C25" s="53" t="inlineStr">
        <is>
          <t>Catalyst</t>
        </is>
      </c>
      <c r="D25" s="53" t="inlineStr">
        <is>
          <t>Description</t>
        </is>
      </c>
      <c r="E25" s="53" t="inlineStr">
        <is>
          <t>Timing</t>
        </is>
      </c>
      <c r="F25" s="53" t="inlineStr">
        <is>
          <t>Impact</t>
        </is>
      </c>
    </row>
    <row r="26" ht="42" customHeight="1">
      <c r="B26" s="68" t="inlineStr">
        <is>
          <t>C1</t>
        </is>
      </c>
      <c r="C26" s="69" t="inlineStr">
        <is>
          <t>Q2-2026 Earnings Beat</t>
        </is>
      </c>
      <c r="D26" s="70" t="inlineStr">
        <is>
          <t>Consensus Q2-26 revenue ~$585M. A significant beat (&gt;10%) given Q1 trajectory ($399M → sequential ~$550-600M) would re-rate the stock positively.</t>
        </is>
      </c>
      <c r="E26" s="68" t="inlineStr">
        <is>
          <t>Aug 6, 2026</t>
        </is>
      </c>
      <c r="F26" s="68" t="inlineStr">
        <is>
          <t>★★★★★</t>
        </is>
      </c>
    </row>
    <row r="27" ht="42" customHeight="1">
      <c r="B27" s="68" t="inlineStr">
        <is>
          <t>C2</t>
        </is>
      </c>
      <c r="C27" s="69" t="inlineStr">
        <is>
          <t>ARR Midpoint Achievement ($7-9B)</t>
        </is>
      </c>
      <c r="D27" s="70" t="inlineStr">
        <is>
          <t>Confirmation in Q3 or Q4 2026 that ARR is tracking toward $7B+ year-end target would validate the entire thesis and justify premium multiple.</t>
        </is>
      </c>
      <c r="E27" s="68" t="inlineStr">
        <is>
          <t>Q3/Q4 2026</t>
        </is>
      </c>
      <c r="F27" s="68" t="inlineStr">
        <is>
          <t>★★★★★</t>
        </is>
      </c>
    </row>
    <row r="28" ht="42" customHeight="1">
      <c r="B28" s="68" t="inlineStr">
        <is>
          <t>C3</t>
        </is>
      </c>
      <c r="C28" s="69" t="inlineStr">
        <is>
          <t>Pennsylvania AI Factory Update</t>
        </is>
      </c>
      <c r="D28" s="70" t="inlineStr">
        <is>
          <t>Groundbreaking or major capacity milestone at the 1.2 GW Pennsylvania facility would confirm execution on the largest infrastructure bet.</t>
        </is>
      </c>
      <c r="E28" s="68" t="inlineStr">
        <is>
          <t>H2 2026</t>
        </is>
      </c>
      <c r="F28" s="68" t="inlineStr">
        <is>
          <t>★★★★</t>
        </is>
      </c>
    </row>
    <row r="29" ht="42" customHeight="1">
      <c r="B29" s="68" t="inlineStr">
        <is>
          <t>C4</t>
        </is>
      </c>
      <c r="C29" s="69" t="inlineStr">
        <is>
          <t>Additional Hyperscaler Contracts</t>
        </is>
      </c>
      <c r="D29" s="70" t="inlineStr">
        <is>
          <t>New multi-year contracts with AWS, Google, or additional hyperscalers would diversify revenue and reduce concentration risk.</t>
        </is>
      </c>
      <c r="E29" s="68" t="inlineStr">
        <is>
          <t>6-18 months</t>
        </is>
      </c>
      <c r="F29" s="68" t="inlineStr">
        <is>
          <t>★★★★</t>
        </is>
      </c>
    </row>
    <row r="30" ht="42" customHeight="1">
      <c r="B30" s="68" t="inlineStr">
        <is>
          <t>C5</t>
        </is>
      </c>
      <c r="C30" s="69" t="inlineStr">
        <is>
          <t>Adj EBITDA Margin &gt;40%</t>
        </is>
      </c>
      <c r="D30" s="70" t="inlineStr">
        <is>
          <t>If EBITDA margins reach 40%+ in any quarter, it confirms the operating leverage hypothesis and removes a major bear argument (never profitable).</t>
        </is>
      </c>
      <c r="E30" s="68" t="inlineStr">
        <is>
          <t>FY2027</t>
        </is>
      </c>
      <c r="F30" s="68" t="inlineStr">
        <is>
          <t>★★★★</t>
        </is>
      </c>
    </row>
    <row r="31" ht="42" customHeight="1">
      <c r="B31" s="68" t="inlineStr">
        <is>
          <t>C6</t>
        </is>
      </c>
      <c r="C31" s="69" t="inlineStr">
        <is>
          <t>Avride / AV Technology Milestone</t>
        </is>
      </c>
      <c r="D31" s="70" t="inlineStr">
        <is>
          <t>Commercial deployment announcement for Avride (autonomous vehicles) or a strategic partnership could unlock sum-of-parts value.</t>
        </is>
      </c>
      <c r="E31" s="68" t="inlineStr">
        <is>
          <t>12-24 months</t>
        </is>
      </c>
      <c r="F31" s="68" t="inlineStr">
        <is>
          <t>★★★</t>
        </is>
      </c>
    </row>
    <row r="32" ht="42" customHeight="1">
      <c r="B32" s="68" t="inlineStr">
        <is>
          <t>C7</t>
        </is>
      </c>
      <c r="C32" s="69" t="inlineStr">
        <is>
          <t>NVIDIA GB300 / Blackwell Ultra Deployment</t>
        </is>
      </c>
      <c r="D32" s="70" t="inlineStr">
        <is>
          <t>Early deployment of next-gen Nvidia accelerators (ahead of competitors) would maintain performance/price leadership.</t>
        </is>
      </c>
      <c r="E32" s="68" t="inlineStr">
        <is>
          <t>H2 2026 – 2027</t>
        </is>
      </c>
      <c r="F32" s="68" t="inlineStr">
        <is>
          <t>★★★</t>
        </is>
      </c>
    </row>
    <row r="34" ht="20" customHeight="1">
      <c r="B34" s="3" t="inlineStr">
        <is>
          <t>KPI TRACKING DASHBOARD</t>
        </is>
      </c>
    </row>
    <row r="35" ht="16" customHeight="1">
      <c r="B35" s="27" t="inlineStr">
        <is>
          <t>KPI</t>
        </is>
      </c>
      <c r="C35" s="27" t="inlineStr">
        <is>
          <t>Q4-25A</t>
        </is>
      </c>
      <c r="D35" s="27" t="inlineStr">
        <is>
          <t>Q1-26A</t>
        </is>
      </c>
      <c r="E35" s="27" t="inlineStr">
        <is>
          <t>Q2-26E</t>
        </is>
      </c>
      <c r="F35" s="27" t="inlineStr">
        <is>
          <t>FY2026E (Base)</t>
        </is>
      </c>
      <c r="G35" s="27" t="inlineStr">
        <is>
          <t>FY2027E (Base)</t>
        </is>
      </c>
      <c r="H35" s="27" t="inlineStr">
        <is>
          <t>Watch Level</t>
        </is>
      </c>
    </row>
    <row r="36" ht="16" customHeight="1">
      <c r="B36" s="80" t="inlineStr">
        <is>
          <t>Revenue ($M)</t>
        </is>
      </c>
      <c r="C36" s="81" t="inlineStr">
        <is>
          <t>227.7</t>
        </is>
      </c>
      <c r="D36" s="81" t="inlineStr">
        <is>
          <t>399.0</t>
        </is>
      </c>
      <c r="E36" s="81" t="inlineStr">
        <is>
          <t>~585 (consensus)</t>
        </is>
      </c>
      <c r="F36" s="81" t="inlineStr">
        <is>
          <t>~$3,200 (base)</t>
        </is>
      </c>
      <c r="G36" s="81" t="inlineStr">
        <is>
          <t>~$6,400 (base)</t>
        </is>
      </c>
      <c r="H36" s="82" t="inlineStr">
        <is>
          <t>Quarterly &gt;$500M</t>
        </is>
      </c>
    </row>
    <row r="37" ht="16" customHeight="1">
      <c r="B37" s="80" t="inlineStr">
        <is>
          <t>QoQ Revenue Growth</t>
        </is>
      </c>
      <c r="C37" s="81" t="inlineStr">
        <is>
          <t>+56%</t>
        </is>
      </c>
      <c r="D37" s="81" t="inlineStr">
        <is>
          <t>+75%</t>
        </is>
      </c>
      <c r="E37" s="81" t="inlineStr">
        <is>
          <t>~+47%</t>
        </is>
      </c>
      <c r="F37" s="81" t="inlineStr">
        <is>
          <t>504% YoY</t>
        </is>
      </c>
      <c r="G37" s="81" t="inlineStr">
        <is>
          <t>100% YoY</t>
        </is>
      </c>
      <c r="H37" s="82" t="inlineStr">
        <is>
          <t>&gt;30% QoQ</t>
        </is>
      </c>
    </row>
    <row r="38" ht="16" customHeight="1">
      <c r="B38" s="80" t="inlineStr">
        <is>
          <t>ARR ($B)</t>
        </is>
      </c>
      <c r="C38" s="81" t="inlineStr">
        <is>
          <t>1.25</t>
        </is>
      </c>
      <c r="D38" s="81" t="inlineStr">
        <is>
          <t>1.92</t>
        </is>
      </c>
      <c r="E38" s="81" t="inlineStr">
        <is>
          <t>&gt;$2.5B est.</t>
        </is>
      </c>
      <c r="F38" s="81" t="inlineStr">
        <is>
          <t>$7-9B (mgmt)</t>
        </is>
      </c>
      <c r="G38" s="81" t="inlineStr">
        <is>
          <t>N/A</t>
        </is>
      </c>
      <c r="H38" s="82" t="inlineStr">
        <is>
          <t>&gt;$3B by Q2-26</t>
        </is>
      </c>
    </row>
    <row r="39" ht="16" customHeight="1">
      <c r="B39" s="80" t="inlineStr">
        <is>
          <t>Adj EBITDA ($M)</t>
        </is>
      </c>
      <c r="C39" s="81" t="inlineStr">
        <is>
          <t>15.0</t>
        </is>
      </c>
      <c r="D39" s="81" t="inlineStr">
        <is>
          <t>129.5</t>
        </is>
      </c>
      <c r="E39" s="81" t="inlineStr">
        <is>
          <t>~$175 est.</t>
        </is>
      </c>
      <c r="F39" s="81" t="inlineStr">
        <is>
          <t>~$256 base</t>
        </is>
      </c>
      <c r="G39" s="81" t="inlineStr">
        <is>
          <t>~$1,280 base</t>
        </is>
      </c>
      <c r="H39" s="82" t="inlineStr">
        <is>
          <t>Margin &gt;20% by Q3</t>
        </is>
      </c>
    </row>
    <row r="40" ht="16" customHeight="1">
      <c r="B40" s="80" t="inlineStr">
        <is>
          <t>Adj EBITDA Margin</t>
        </is>
      </c>
      <c r="C40" s="81" t="inlineStr">
        <is>
          <t>6.6%</t>
        </is>
      </c>
      <c r="D40" s="81" t="inlineStr">
        <is>
          <t>32.5%</t>
        </is>
      </c>
      <c r="E40" s="81" t="inlineStr">
        <is>
          <t>~30%</t>
        </is>
      </c>
      <c r="F40" s="81" t="inlineStr">
        <is>
          <t>8% (FY avg)</t>
        </is>
      </c>
      <c r="G40" s="81" t="inlineStr">
        <is>
          <t>20% (FY avg)</t>
        </is>
      </c>
      <c r="H40" s="82" t="inlineStr">
        <is>
          <t>&gt;25% FY2027</t>
        </is>
      </c>
    </row>
    <row r="41" ht="16" customHeight="1">
      <c r="B41" s="80" t="inlineStr">
        <is>
          <t>CapEx ($M)</t>
        </is>
      </c>
      <c r="C41" s="81" t="inlineStr">
        <is>
          <t>2,056</t>
        </is>
      </c>
      <c r="D41" s="81" t="inlineStr">
        <is>
          <t>2,473</t>
        </is>
      </c>
      <c r="E41" s="81" t="inlineStr">
        <is>
          <t>~$3,500 est.</t>
        </is>
      </c>
      <c r="F41" s="81" t="inlineStr">
        <is>
          <t>$20-25B (mgmt)</t>
        </is>
      </c>
      <c r="G41" s="81" t="inlineStr">
        <is>
          <t>Declining %</t>
        </is>
      </c>
      <c r="H41" s="82" t="inlineStr">
        <is>
          <t>&lt;$10B/qtr by Q4-26</t>
        </is>
      </c>
    </row>
    <row r="42" ht="16" customHeight="1">
      <c r="B42" s="80" t="inlineStr">
        <is>
          <t>Cash &amp; Equiv ($B)</t>
        </is>
      </c>
      <c r="C42" s="81" t="inlineStr">
        <is>
          <t>3.7</t>
        </is>
      </c>
      <c r="D42" s="81" t="inlineStr">
        <is>
          <t>9.3</t>
        </is>
      </c>
      <c r="E42" s="81" t="inlineStr">
        <is>
          <t>~$7-8 est.</t>
        </is>
      </c>
      <c r="F42" s="81" t="inlineStr">
        <is>
          <t>N/A</t>
        </is>
      </c>
      <c r="G42" s="81" t="inlineStr">
        <is>
          <t>N/A</t>
        </is>
      </c>
      <c r="H42" s="82" t="inlineStr">
        <is>
          <t>&gt;$5B at all times</t>
        </is>
      </c>
    </row>
    <row r="43" ht="16" customHeight="1">
      <c r="B43" s="80" t="inlineStr">
        <is>
          <t>GPU-Active Power (MW)</t>
        </is>
      </c>
      <c r="C43" s="81" t="inlineStr">
        <is>
          <t>~200 est.</t>
        </is>
      </c>
      <c r="D43" s="81" t="inlineStr">
        <is>
          <t>~250 est.</t>
        </is>
      </c>
      <c r="E43" s="81" t="inlineStr">
        <is>
          <t>~350 est.</t>
        </is>
      </c>
      <c r="F43" s="81" t="inlineStr">
        <is>
          <t>&gt;800 MW</t>
        </is>
      </c>
      <c r="G43" s="81" t="inlineStr">
        <is>
          <t>&gt;1,500 MW</t>
        </is>
      </c>
      <c r="H43" s="82" t="inlineStr">
        <is>
          <t>&gt;500 MW by Q3</t>
        </is>
      </c>
    </row>
    <row r="44" ht="16" customHeight="1">
      <c r="B44" s="80" t="inlineStr">
        <is>
          <t>Contracted Power (GW)</t>
        </is>
      </c>
      <c r="C44" s="81" t="inlineStr">
        <is>
          <t>&gt;2.0</t>
        </is>
      </c>
      <c r="D44" s="81" t="inlineStr">
        <is>
          <t>&gt;3.0 (mgmt)</t>
        </is>
      </c>
      <c r="E44" s="81" t="inlineStr">
        <is>
          <t>3.0+</t>
        </is>
      </c>
      <c r="F44" s="81" t="inlineStr">
        <is>
          <t>&gt;3 GW (mgmt)</t>
        </is>
      </c>
      <c r="G44" s="81" t="inlineStr">
        <is>
          <t>&gt;5 GW</t>
        </is>
      </c>
      <c r="H44" s="82" t="inlineStr">
        <is>
          <t>&gt;3.5 GW by Q4</t>
        </is>
      </c>
    </row>
    <row r="45" ht="16" customHeight="1">
      <c r="B45" s="80" t="inlineStr">
        <is>
          <t>Deferred Revenue ($B)</t>
        </is>
      </c>
      <c r="C45" s="81" t="inlineStr">
        <is>
          <t>1.58</t>
        </is>
      </c>
      <c r="D45" s="81" t="inlineStr">
        <is>
          <t>4.78</t>
        </is>
      </c>
      <c r="E45" s="81" t="inlineStr">
        <is>
          <t>~$6 est.</t>
        </is>
      </c>
      <c r="F45" s="81" t="inlineStr">
        <is>
          <t>N/A</t>
        </is>
      </c>
      <c r="G45" s="81" t="inlineStr">
        <is>
          <t>N/A</t>
        </is>
      </c>
      <c r="H45" s="82" t="inlineStr">
        <is>
          <t>Growing QoQ</t>
        </is>
      </c>
    </row>
    <row r="46" ht="16" customHeight="1">
      <c r="B46" s="80" t="inlineStr">
        <is>
          <t>Gross Margin</t>
        </is>
      </c>
      <c r="C46" s="81" t="inlineStr">
        <is>
          <t>~70%</t>
        </is>
      </c>
      <c r="D46" s="81" t="inlineStr">
        <is>
          <t>~72%</t>
        </is>
      </c>
      <c r="E46" s="81" t="inlineStr">
        <is>
          <t>~73%</t>
        </is>
      </c>
      <c r="F46" s="81" t="inlineStr">
        <is>
          <t>72% base</t>
        </is>
      </c>
      <c r="G46" s="81" t="inlineStr">
        <is>
          <t>76% base</t>
        </is>
      </c>
      <c r="H46" s="82" t="inlineStr">
        <is>
          <t>&gt;70% sustained</t>
        </is>
      </c>
    </row>
    <row r="47" ht="16" customHeight="1">
      <c r="B47" s="80" t="inlineStr">
        <is>
          <t>Adj Net Loss ($M)</t>
        </is>
      </c>
      <c r="C47" s="81" t="inlineStr">
        <is>
          <t>-173</t>
        </is>
      </c>
      <c r="D47" s="81" t="inlineStr">
        <is>
          <t>-100</t>
        </is>
      </c>
      <c r="E47" s="81" t="inlineStr">
        <is>
          <t>~-110 est.</t>
        </is>
      </c>
      <c r="F47" s="81" t="inlineStr">
        <is>
          <t>N/A</t>
        </is>
      </c>
      <c r="G47" s="81" t="inlineStr">
        <is>
          <t>N/A</t>
        </is>
      </c>
      <c r="H47" s="82" t="inlineStr">
        <is>
          <t>Path to breakeven</t>
        </is>
      </c>
    </row>
  </sheetData>
  <mergeCells count="6">
    <mergeCell ref="B3:J3"/>
    <mergeCell ref="B5:J5"/>
    <mergeCell ref="B34:J34"/>
    <mergeCell ref="B14:J14"/>
    <mergeCell ref="B24:J24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42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4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2" ht="28" customHeight="1">
      <c r="B2" s="13" t="inlineStr">
        <is>
          <t>NBIS — DCF MODEL ASSUMPTIONS REGISTRY</t>
        </is>
      </c>
    </row>
    <row r="3">
      <c r="B3" s="2" t="inlineStr">
        <is>
          <t>All assumptions documented with source, rationale, and sensitivity flag</t>
        </is>
      </c>
    </row>
    <row r="5">
      <c r="B5" s="3" t="inlineStr">
        <is>
          <t>REVENUE GROWTH ASSUMPTIONS</t>
        </is>
      </c>
    </row>
    <row r="6">
      <c r="B6" s="14" t="inlineStr">
        <is>
          <t>Year</t>
        </is>
      </c>
      <c r="C6" s="14" t="inlineStr">
        <is>
          <t>Bull</t>
        </is>
      </c>
      <c r="D6" s="14" t="inlineStr">
        <is>
          <t>Base</t>
        </is>
      </c>
      <c r="E6" s="14" t="inlineStr">
        <is>
          <t>Bear</t>
        </is>
      </c>
      <c r="F6" s="14" t="inlineStr">
        <is>
          <t>Source</t>
        </is>
      </c>
      <c r="G6" s="14" t="inlineStr">
        <is>
          <t>Rationale</t>
        </is>
      </c>
      <c r="H6" s="14" t="inlineStr">
        <is>
          <t>Sensitivity</t>
        </is>
      </c>
    </row>
    <row r="7" ht="50" customHeight="1">
      <c r="B7" s="75" t="inlineStr">
        <is>
          <t>FY2026E</t>
        </is>
      </c>
      <c r="C7" s="74" t="inlineStr">
        <is>
          <t>600%</t>
        </is>
      </c>
      <c r="D7" s="74" t="inlineStr">
        <is>
          <t>504%</t>
        </is>
      </c>
      <c r="E7" s="74" t="inlineStr">
        <is>
          <t>350%</t>
        </is>
      </c>
      <c r="F7" s="76" t="inlineStr">
        <is>
          <t>Management guidance ($3-3.4B); consensus ~$3.2B</t>
        </is>
      </c>
      <c r="G7" s="76" t="inlineStr">
        <is>
          <t>Q1-26 run-rate implies ~$1.6B annualized; management $3-3.4B FY guidance requires H2 ramp as new capacity comes online. Base aligns with guidance midpoint.</t>
        </is>
      </c>
      <c r="H7" s="76" t="inlineStr">
        <is>
          <t>★★★★★ Critical</t>
        </is>
      </c>
    </row>
    <row r="8" ht="50" customHeight="1">
      <c r="B8" s="75" t="inlineStr">
        <is>
          <t>FY2027E</t>
        </is>
      </c>
      <c r="C8" s="74" t="inlineStr">
        <is>
          <t>120%</t>
        </is>
      </c>
      <c r="D8" s="74" t="inlineStr">
        <is>
          <t>100%</t>
        </is>
      </c>
      <c r="E8" s="74" t="inlineStr">
        <is>
          <t>70%</t>
        </is>
      </c>
      <c r="F8" s="76" t="inlineStr">
        <is>
          <t>Management ARR guidance $7-9B at 2026 year-end implies 2027 FY revenue ~$5-8B range</t>
        </is>
      </c>
      <c r="G8" s="76" t="inlineStr">
        <is>
          <t>If $7B ARR achieved at year-end 2026, average 2027 revenue depends on ramp timing. Base assumes ~$6.4B (2x of 2026), conservative relative to mgmt implication.</t>
        </is>
      </c>
      <c r="H8" s="76" t="inlineStr">
        <is>
          <t>★★★★★ Critical</t>
        </is>
      </c>
    </row>
    <row r="9" ht="50" customHeight="1">
      <c r="B9" s="75" t="inlineStr">
        <is>
          <t>FY2028E</t>
        </is>
      </c>
      <c r="C9" s="74" t="inlineStr">
        <is>
          <t>70%</t>
        </is>
      </c>
      <c r="D9" s="74" t="inlineStr">
        <is>
          <t>55%</t>
        </is>
      </c>
      <c r="E9" s="74" t="inlineStr">
        <is>
          <t>40%</t>
        </is>
      </c>
      <c r="F9" s="76" t="inlineStr">
        <is>
          <t>Analyst consensus where available; market share assumptions in $200B+ TAM</t>
        </is>
      </c>
      <c r="G9" s="76" t="inlineStr">
        <is>
          <t>Revenue deceleration as law of large numbers. TAM for AI cloud $200B+ by 2028 (various estimates). NBIS capturing 5-8% = $10-16B.</t>
        </is>
      </c>
      <c r="H9" s="76" t="inlineStr">
        <is>
          <t>★★★★ High</t>
        </is>
      </c>
    </row>
    <row r="10" ht="50" customHeight="1">
      <c r="B10" s="75" t="inlineStr">
        <is>
          <t>FY2029E</t>
        </is>
      </c>
      <c r="C10" s="74" t="inlineStr">
        <is>
          <t>45%</t>
        </is>
      </c>
      <c r="D10" s="74" t="inlineStr">
        <is>
          <t>35%</t>
        </is>
      </c>
      <c r="E10" s="74" t="inlineStr">
        <is>
          <t>25%</t>
        </is>
      </c>
      <c r="F10" s="76" t="inlineStr">
        <is>
          <t>Extrapolation; sector maturation assumption</t>
        </is>
      </c>
      <c r="G10" s="76" t="inlineStr">
        <is>
          <t>Growth fade toward hyperscaler comps (~20-28% for AWS, Azure, GCP). Earlier than hyperscaler stabilization given neocloud DNA.</t>
        </is>
      </c>
      <c r="H10" s="76" t="inlineStr">
        <is>
          <t>★★★ Medium</t>
        </is>
      </c>
    </row>
    <row r="11" ht="50" customHeight="1">
      <c r="B11" s="75" t="inlineStr">
        <is>
          <t>FY2030E</t>
        </is>
      </c>
      <c r="C11" s="74" t="inlineStr">
        <is>
          <t>30%</t>
        </is>
      </c>
      <c r="D11" s="74" t="inlineStr">
        <is>
          <t>25%</t>
        </is>
      </c>
      <c r="E11" s="74" t="inlineStr">
        <is>
          <t>18%</t>
        </is>
      </c>
      <c r="F11" s="76" t="inlineStr">
        <is>
          <t>Extrapolation; converging toward sector growth rates</t>
        </is>
      </c>
      <c r="G11" s="76" t="inlineStr">
        <is>
          <t>AI compute TAM still growing rapidly (~25%/yr) but NBIS base becoming larger. Market share gains offset growth moderation.</t>
        </is>
      </c>
      <c r="H11" s="76" t="inlineStr">
        <is>
          <t>★★★ Medium</t>
        </is>
      </c>
    </row>
    <row r="12" ht="50" customHeight="1">
      <c r="B12" s="75" t="inlineStr">
        <is>
          <t>FY2031-32E (terminal fade)</t>
        </is>
      </c>
      <c r="C12" s="74" t="inlineStr">
        <is>
          <t>22%/16%</t>
        </is>
      </c>
      <c r="D12" s="74" t="inlineStr">
        <is>
          <t>18%/14%</t>
        </is>
      </c>
      <c r="E12" s="74" t="inlineStr">
        <is>
          <t>15%/12%</t>
        </is>
      </c>
      <c r="F12" s="76" t="inlineStr">
        <is>
          <t>Damodaran approach: fade to nominal GDP + sector premium</t>
        </is>
      </c>
      <c r="G12" s="76" t="inlineStr">
        <is>
          <t>Terminal growth anchored at 2.5% (nominal GDP). Revenue growth fades linearly. These years mainly inform terminal value calculation.</t>
        </is>
      </c>
      <c r="H12" s="76" t="inlineStr">
        <is>
          <t>★★ Low-Medium</t>
        </is>
      </c>
    </row>
    <row r="14">
      <c r="B14" s="3" t="inlineStr">
        <is>
          <t>MARGIN &amp; COST STRUCTURE ASSUMPTIONS</t>
        </is>
      </c>
    </row>
    <row r="15">
      <c r="B15" s="14" t="inlineStr">
        <is>
          <t>Item</t>
        </is>
      </c>
      <c r="C15" s="14" t="inlineStr">
        <is>
          <t>Bull</t>
        </is>
      </c>
      <c r="D15" s="14" t="inlineStr">
        <is>
          <t>Base</t>
        </is>
      </c>
      <c r="E15" s="14" t="inlineStr">
        <is>
          <t>Bear</t>
        </is>
      </c>
      <c r="F15" s="14" t="inlineStr">
        <is>
          <t>Historical Anchor</t>
        </is>
      </c>
      <c r="G15" s="14" t="inlineStr">
        <is>
          <t>Rationale</t>
        </is>
      </c>
      <c r="H15" s="14" t="inlineStr">
        <is>
          <t>Sensitivity</t>
        </is>
      </c>
    </row>
    <row r="16" ht="55" customHeight="1">
      <c r="B16" s="75" t="inlineStr">
        <is>
          <t>Gross Margin (2026E)</t>
        </is>
      </c>
      <c r="C16" s="74" t="inlineStr">
        <is>
          <t>74%</t>
        </is>
      </c>
      <c r="D16" s="74" t="inlineStr">
        <is>
          <t>72%</t>
        </is>
      </c>
      <c r="E16" s="74" t="inlineStr">
        <is>
          <t>68%</t>
        </is>
      </c>
      <c r="F16" s="76" t="inlineStr">
        <is>
          <t>FY2025: 69% | Q4-25: 70% | Q1-26: ~72% (implied)</t>
        </is>
      </c>
      <c r="G16" s="76" t="inlineStr">
        <is>
          <t>Gross margin improving as fixed-cost data center lease/D&amp;A is excluded (treated separately); GPU pricing stability.</t>
        </is>
      </c>
      <c r="H16" s="76" t="inlineStr">
        <is>
          <t>★★★★ High</t>
        </is>
      </c>
    </row>
    <row r="17" ht="55" customHeight="1">
      <c r="B17" s="75" t="inlineStr">
        <is>
          <t>Adj EBITDA Margin 2026E</t>
        </is>
      </c>
      <c r="C17" s="74" t="inlineStr">
        <is>
          <t>12%</t>
        </is>
      </c>
      <c r="D17" s="74" t="inlineStr">
        <is>
          <t>8%</t>
        </is>
      </c>
      <c r="E17" s="74" t="inlineStr">
        <is>
          <t>3%</t>
        </is>
      </c>
      <c r="F17" s="76" t="inlineStr">
        <is>
          <t>Q1-26: 32% (but Q1 benefits from pre-revenue capacity build; FY avg. lower)</t>
        </is>
      </c>
      <c r="G17" s="76" t="inlineStr">
        <is>
          <t>FY2026 Adj EBITDA margin is suppressed by heavy SG&amp;A growth, headcount investment, and early-stage capacity costs for new sites. Q1-26 margin not representative of annual rate.</t>
        </is>
      </c>
      <c r="H17" s="76" t="inlineStr">
        <is>
          <t>★★★★ High</t>
        </is>
      </c>
    </row>
    <row r="18" ht="55" customHeight="1">
      <c r="B18" s="75" t="inlineStr">
        <is>
          <t>Adj EBITDA Margin 2030E</t>
        </is>
      </c>
      <c r="C18" s="74" t="inlineStr">
        <is>
          <t>48%</t>
        </is>
      </c>
      <c r="D18" s="74" t="inlineStr">
        <is>
          <t>44%</t>
        </is>
      </c>
      <c r="E18" s="74" t="inlineStr">
        <is>
          <t>35%</t>
        </is>
      </c>
      <c r="F18" s="76" t="inlineStr">
        <is>
          <t>Hyperscaler cloud margins: AWS ~35%, GCP ~17%; CoreWeave targets 50%+</t>
        </is>
      </c>
      <c r="G18" s="76" t="inlineStr">
        <is>
          <t>Neocloud model at scale should approach hyperscaler margins due to fixed-cost leverage. GPU utilization &gt;90% allows margin expansion. Base case conservative vs. management aspirations.</t>
        </is>
      </c>
      <c r="H18" s="76" t="inlineStr">
        <is>
          <t>★★★★★ Critical</t>
        </is>
      </c>
    </row>
    <row r="19" ht="55" customHeight="1">
      <c r="B19" s="75" t="inlineStr">
        <is>
          <t>D&amp;A as % of Revenue (2026E)</t>
        </is>
      </c>
      <c r="C19" s="74" t="inlineStr">
        <is>
          <t>52%</t>
        </is>
      </c>
      <c r="D19" s="74" t="inlineStr">
        <is>
          <t>55%</t>
        </is>
      </c>
      <c r="E19" s="74" t="inlineStr">
        <is>
          <t>60%</t>
        </is>
      </c>
      <c r="F19" s="76" t="inlineStr">
        <is>
          <t>FY2025: D&amp;A = $404M on $530M rev = 76%; Q4-25: 79%</t>
        </is>
      </c>
      <c r="G19" s="76" t="inlineStr">
        <is>
          <t>D&amp;A will remain very high as $4B+ CapEx in FY2025 is depreciated over 3-5 years. Ratio improves as revenue grows faster than depreciation base. Key driver of reported vs. adj profitability gap.</t>
        </is>
      </c>
      <c r="H19" s="76" t="inlineStr">
        <is>
          <t>★★★★★ Critical</t>
        </is>
      </c>
    </row>
    <row r="20" ht="55" customHeight="1">
      <c r="B20" s="75" t="inlineStr">
        <is>
          <t>Net CapEx % of Revenue (2026E)</t>
        </is>
      </c>
      <c r="C20" s="74" t="inlineStr">
        <is>
          <t>1.5%</t>
        </is>
      </c>
      <c r="D20" s="74" t="inlineStr">
        <is>
          <t>1.8%</t>
        </is>
      </c>
      <c r="E20" s="74" t="inlineStr">
        <is>
          <t>2.2%</t>
        </is>
      </c>
      <c r="F20" s="76" t="inlineStr">
        <is>
          <t>Gross CapEx: ~$20-25B in 2026 (mgmt guidance); offset by ~$4.8B deferred rev inflows</t>
        </is>
      </c>
      <c r="G20" s="76" t="inlineStr">
        <is>
          <t>Critical distinction: gross CapEx ($20-25B) vs. net economic CapEx (customer-funded portion netted). Large hyperscaler pre-payments effectively pre-fund CapEx. Net economic CapEx much lower.</t>
        </is>
      </c>
      <c r="H20" s="76" t="inlineStr">
        <is>
          <t>★★★★★ Critical</t>
        </is>
      </c>
    </row>
    <row r="21" ht="55" customHeight="1">
      <c r="B21" s="75" t="inlineStr">
        <is>
          <t>Tax Rate</t>
        </is>
      </c>
      <c r="C21" s="74" t="inlineStr">
        <is>
          <t>12.5%</t>
        </is>
      </c>
      <c r="D21" s="74" t="inlineStr">
        <is>
          <t>12.5%</t>
        </is>
      </c>
      <c r="E21" s="74" t="inlineStr">
        <is>
          <t>12.5%</t>
        </is>
      </c>
      <c r="F21" s="76" t="inlineStr">
        <is>
          <t>FY2025 effective: ~12%. Dutch HoldCo structure; significant NOLs.</t>
        </is>
      </c>
      <c r="G21" s="76" t="inlineStr">
        <is>
          <t>Netherlands domicile + large NOL carryforwards (losses from 2022-2025 investment phase). Long runway before meaningful cash taxes. Normalize to ~15-20% by FY2030.</t>
        </is>
      </c>
      <c r="H21" s="76" t="inlineStr">
        <is>
          <t>★★ Low</t>
        </is>
      </c>
    </row>
    <row r="22" ht="55" customHeight="1">
      <c r="B22" s="75" t="inlineStr">
        <is>
          <t>Working Capital Change (ex Deferred Rev)</t>
        </is>
      </c>
      <c r="C22" s="74" t="inlineStr">
        <is>
          <t>2% of ΔRev</t>
        </is>
      </c>
      <c r="D22" s="74" t="inlineStr">
        <is>
          <t>2% of ΔRev</t>
        </is>
      </c>
      <c r="E22" s="74" t="inlineStr">
        <is>
          <t>2% of ΔRev</t>
        </is>
      </c>
      <c r="F22" s="76" t="inlineStr">
        <is>
          <t>Historical: NWC (ex deferred rev) moves ~2-3% of revenue change</t>
        </is>
      </c>
      <c r="G22" s="76" t="inlineStr">
        <is>
          <t>Deferred revenue (customer pre-payments) excluded from WC analysis as it functions as quasi-financing. Remaining NWC cycle relatively modest for a cloud infra business.</t>
        </is>
      </c>
      <c r="H22" s="76" t="inlineStr">
        <is>
          <t>★★ Low</t>
        </is>
      </c>
    </row>
    <row r="24">
      <c r="B24" s="3" t="inlineStr">
        <is>
          <t>WACC ASSUMPTIONS</t>
        </is>
      </c>
    </row>
    <row r="25">
      <c r="B25" s="14" t="inlineStr">
        <is>
          <t>Component</t>
        </is>
      </c>
      <c r="C25" s="14" t="inlineStr">
        <is>
          <t>Value</t>
        </is>
      </c>
      <c r="D25" s="14" t="inlineStr">
        <is>
          <t>Range Tested</t>
        </is>
      </c>
      <c r="E25" s="14" t="inlineStr">
        <is>
          <t>Source</t>
        </is>
      </c>
      <c r="F25" s="14" t="inlineStr">
        <is>
          <t>Notes</t>
        </is>
      </c>
      <c r="G25" s="44" t="n"/>
      <c r="H25" s="44" t="n"/>
    </row>
    <row r="26" ht="42" customHeight="1">
      <c r="B26" s="75" t="inlineStr">
        <is>
          <t>Risk-Free Rate</t>
        </is>
      </c>
      <c r="C26" s="74" t="inlineStr">
        <is>
          <t>4.3%</t>
        </is>
      </c>
      <c r="D26" s="74" t="inlineStr">
        <is>
          <t>3.5%–5.0%</t>
        </is>
      </c>
      <c r="E26" s="76" t="inlineStr">
        <is>
          <t>10Y US Treasury (May 2026)</t>
        </is>
      </c>
      <c r="F26" s="76" t="inlineStr">
        <is>
          <t>Current yield; use 10Y as proxy for long-term investment horizon</t>
        </is>
      </c>
      <c r="G26" s="44" t="n"/>
      <c r="H26" s="44" t="n"/>
    </row>
    <row r="27" ht="42" customHeight="1">
      <c r="B27" s="75" t="inlineStr">
        <is>
          <t>Equity Risk Premium</t>
        </is>
      </c>
      <c r="C27" s="74" t="inlineStr">
        <is>
          <t>5.5%</t>
        </is>
      </c>
      <c r="D27" s="74" t="inlineStr">
        <is>
          <t>5.0%–6.5%</t>
        </is>
      </c>
      <c r="E27" s="76" t="inlineStr">
        <is>
          <t>Damodaran 2025 US ERP</t>
        </is>
      </c>
      <c r="F27" s="76" t="inlineStr">
        <is>
          <t>Base equity risk premium; no additional country risk (Netherlands, US ops)</t>
        </is>
      </c>
      <c r="G27" s="44" t="n"/>
      <c r="H27" s="44" t="n"/>
    </row>
    <row r="28" ht="42" customHeight="1">
      <c r="B28" s="75" t="inlineStr">
        <is>
          <t>Beta (adjusted)</t>
        </is>
      </c>
      <c r="C28" s="74" t="inlineStr">
        <is>
          <t>3.10x</t>
        </is>
      </c>
      <c r="D28" s="74" t="inlineStr">
        <is>
          <t>2.5x–4.0x</t>
        </is>
      </c>
      <c r="E28" s="76" t="inlineStr">
        <is>
          <t>Estimated from recent trading; NBIS high-beta AI neocloud</t>
        </is>
      </c>
      <c r="F28" s="76" t="inlineStr">
        <is>
          <t>Stock has shown 3.9x beta in early trading; expect to converge toward 2.5x as business matures and revenue visibility improves. Use 3.1x as mid-point.</t>
        </is>
      </c>
      <c r="G28" s="44" t="n"/>
      <c r="H28" s="44" t="n"/>
    </row>
    <row r="29" ht="42" customHeight="1">
      <c r="B29" s="75" t="inlineStr">
        <is>
          <t>Cost of Equity</t>
        </is>
      </c>
      <c r="C29" s="74" t="inlineStr">
        <is>
          <t>21.35%</t>
        </is>
      </c>
      <c r="D29" s="74" t="inlineStr">
        <is>
          <t>17%–26%</t>
        </is>
      </c>
      <c r="E29" s="76" t="inlineStr">
        <is>
          <t>Rf + Beta × ERP formula</t>
        </is>
      </c>
      <c r="F29" s="76" t="inlineStr">
        <is>
          <t>High but appropriate for a pre-FCF AI growth company; reflects genuine equity risk</t>
        </is>
      </c>
      <c r="G29" s="44" t="n"/>
      <c r="H29" s="44" t="n"/>
    </row>
    <row r="30" ht="42" customHeight="1">
      <c r="B30" s="75" t="inlineStr">
        <is>
          <t>Pre-tax Cost of Debt</t>
        </is>
      </c>
      <c r="C30" s="74" t="inlineStr">
        <is>
          <t>5.5%</t>
        </is>
      </c>
      <c r="D30" s="74" t="inlineStr">
        <is>
          <t>4.5%–6.5%</t>
        </is>
      </c>
      <c r="E30" s="76" t="inlineStr">
        <is>
          <t>Blended coupon on $4.34B convertible notes issued Q1-26</t>
        </is>
      </c>
      <c r="F30" s="76" t="inlineStr">
        <is>
          <t>Convertible notes carry ~5% coupon; favorable given NBIS credit quality improving with hyperscaler contracts</t>
        </is>
      </c>
      <c r="G30" s="44" t="n"/>
      <c r="H30" s="44" t="n"/>
    </row>
    <row r="31" ht="42" customHeight="1">
      <c r="B31" s="75" t="inlineStr">
        <is>
          <t>Tax Rate</t>
        </is>
      </c>
      <c r="C31" s="74" t="inlineStr">
        <is>
          <t>12.5%</t>
        </is>
      </c>
      <c r="D31" s="74" t="inlineStr">
        <is>
          <t>10%–20%</t>
        </is>
      </c>
      <c r="E31" s="76" t="inlineStr">
        <is>
          <t>NL holding co.; large NOLs</t>
        </is>
      </c>
      <c r="F31" s="76" t="inlineStr">
        <is>
          <t>Cash tax rate will be near-zero for 3-5 years given NOL carryforwards</t>
        </is>
      </c>
      <c r="G31" s="44" t="n"/>
      <c r="H31" s="44" t="n"/>
    </row>
    <row r="32" ht="42" customHeight="1">
      <c r="B32" s="75" t="inlineStr">
        <is>
          <t>After-tax Cost of Debt</t>
        </is>
      </c>
      <c r="C32" s="74" t="inlineStr">
        <is>
          <t>4.81%</t>
        </is>
      </c>
      <c r="D32" s="74" t="inlineStr">
        <is>
          <t>3.9%–5.9%</t>
        </is>
      </c>
      <c r="E32" s="76" t="inlineStr">
        <is>
          <t>Pre-tax CoD × (1 – Tax Rate)</t>
        </is>
      </c>
      <c r="F32" s="76" t="inlineStr">
        <is>
          <t>Calculated</t>
        </is>
      </c>
      <c r="G32" s="44" t="n"/>
      <c r="H32" s="44" t="n"/>
    </row>
    <row r="33" ht="42" customHeight="1">
      <c r="B33" s="75" t="inlineStr">
        <is>
          <t>Debt Weight</t>
        </is>
      </c>
      <c r="C33" s="74" t="inlineStr">
        <is>
          <t>14.0%</t>
        </is>
      </c>
      <c r="D33" s="74" t="inlineStr">
        <is>
          <t>8%–25%</t>
        </is>
      </c>
      <c r="E33" s="76" t="inlineStr">
        <is>
          <t>Total Debt / (Debt + Market Cap)</t>
        </is>
      </c>
      <c r="F33" s="76" t="inlineStr">
        <is>
          <t>Will change as stock price moves; re-test sensitivity at $150/share</t>
        </is>
      </c>
      <c r="G33" s="44" t="n"/>
      <c r="H33" s="44" t="n"/>
    </row>
    <row r="34" ht="42" customHeight="1">
      <c r="B34" s="83" t="inlineStr">
        <is>
          <t>WACC</t>
        </is>
      </c>
      <c r="C34" s="84" t="inlineStr">
        <is>
          <t>19.03%</t>
        </is>
      </c>
      <c r="D34" s="84" t="inlineStr">
        <is>
          <t>15%–23%</t>
        </is>
      </c>
      <c r="E34" s="85" t="inlineStr">
        <is>
          <t>Calculated: E/V × Ke + D/V × Kd × (1-T)</t>
        </is>
      </c>
      <c r="F34" s="85" t="inlineStr">
        <is>
          <t>⚠ HIGH: Reflects stage of company. WACC will likely decrease to ~12-15% as FCF becomes positive and beta normalizes</t>
        </is>
      </c>
      <c r="G34" s="44" t="n"/>
      <c r="H34" s="44" t="n"/>
    </row>
    <row r="35" ht="42" customHeight="1">
      <c r="B35" s="75" t="inlineStr">
        <is>
          <t>Terminal Growth Rate</t>
        </is>
      </c>
      <c r="C35" s="74" t="inlineStr">
        <is>
          <t>2.5%</t>
        </is>
      </c>
      <c r="D35" s="74" t="inlineStr">
        <is>
          <t>1.5%–3.5%</t>
        </is>
      </c>
      <c r="E35" s="76" t="inlineStr">
        <is>
          <t>Long-term nominal GDP + AI sector premium</t>
        </is>
      </c>
      <c r="F35" s="76" t="inlineStr">
        <is>
          <t>US nominal GDP ~3.5%; AI cloud sector should grow above GDP long-term; 2.5% conservative but appropriate for model stability</t>
        </is>
      </c>
      <c r="G35" s="44" t="n"/>
      <c r="H35" s="44" t="n"/>
    </row>
    <row r="37">
      <c r="B37" s="3" t="inlineStr">
        <is>
          <t>TERMINAL VALUE ASSUMPTIONS</t>
        </is>
      </c>
    </row>
    <row r="38">
      <c r="B38" s="14" t="inlineStr">
        <is>
          <t>Method</t>
        </is>
      </c>
      <c r="C38" s="14" t="inlineStr">
        <is>
          <t>Formula / Value</t>
        </is>
      </c>
      <c r="D38" s="14" t="inlineStr">
        <is>
          <t>Notes &amp; Caveats</t>
        </is>
      </c>
      <c r="E38" s="44" t="n"/>
      <c r="F38" s="44" t="n"/>
      <c r="G38" s="44" t="n"/>
      <c r="H38" s="44" t="n"/>
    </row>
    <row r="39" ht="65" customHeight="1">
      <c r="B39" s="86" t="inlineStr">
        <is>
          <t>Exit Multiple Method (Primary)</t>
        </is>
      </c>
      <c r="C39" s="87" t="inlineStr">
        <is>
          <t>FY2032E Adj EBITDA × 18x EV/EBITDA</t>
        </is>
      </c>
      <c r="D39" s="88" t="inlineStr">
        <is>
          <t>Primary method. 18x EV/EBITDA is below AWS mature multiple (~20-25x) but above current CRWV implied (~15x). Appropriate for a maturing AI infra platform with 40-50% EBITDA margins.</t>
        </is>
      </c>
      <c r="E39" s="44" t="n"/>
      <c r="F39" s="44" t="n"/>
      <c r="G39" s="44" t="n"/>
      <c r="H39" s="44" t="n"/>
    </row>
    <row r="40" ht="65" customHeight="1">
      <c r="B40" s="86" t="inlineStr">
        <is>
          <t>Perpetuity Growth Method (Cross-check)</t>
        </is>
      </c>
      <c r="C40" s="87" t="inlineStr">
        <is>
          <t>Terminal FCF × (1 + g) / (WACC - g)</t>
        </is>
      </c>
      <c r="D40" s="88" t="inlineStr">
        <is>
          <t>Secondary. Note: FCF is negative through FY2032 in base case, making this method inapplicable in standard form. Cross-checked using normalized FCF (FY2032 NOPAT + D&amp;A - maintenance capex). Method A produced negative EV in base case — this is EXPECTED for hyper-investment-phase companies and is NOT a model error.</t>
        </is>
      </c>
      <c r="E40" s="44" t="n"/>
      <c r="F40" s="44" t="n"/>
      <c r="G40" s="44" t="n"/>
      <c r="H40" s="44" t="n"/>
    </row>
    <row r="41" ht="65" customHeight="1">
      <c r="B41" s="86" t="inlineStr">
        <is>
          <t>TV as % of Enterprise Value</t>
        </is>
      </c>
      <c r="C41" s="87" t="inlineStr">
        <is>
          <t>127% (Exit Method, Base)</t>
        </is>
      </c>
      <c r="D41" s="88" t="inlineStr">
        <is>
          <t>⚠ ELEVATED: TV &gt; 100% of EV means PV of explicit FCFs is negative. This is structurally accurate for Nebius: the investment phase creates negative FCF for 7+ years; almost all value is in the terminal. This makes the model highly sensitive to terminal value assumptions. See Sensitivity Table 2 for WACC × Exit Multiple analysis.</t>
        </is>
      </c>
      <c r="E41" s="44" t="n"/>
      <c r="F41" s="44" t="n"/>
      <c r="G41" s="44" t="n"/>
      <c r="H41" s="44" t="n"/>
    </row>
    <row r="42" ht="65" customHeight="1">
      <c r="B42" s="86" t="inlineStr">
        <is>
          <t>Diluted Share Count (Bridge)</t>
        </is>
      </c>
      <c r="C42" s="87" t="inlineStr">
        <is>
          <t>300M shares</t>
        </is>
      </c>
      <c r="D42" s="88" t="inlineStr">
        <is>
          <t>Base shares: 253M outstanding (Dec-31-25). Add: ~47M for convertible note dilution (partial conversion assumption) + stock options. Does not include full prefunded warrant conversion (~18-20M additional shares possible). Full dilution scenario ~315-320M shares.</t>
        </is>
      </c>
      <c r="E42" s="44" t="n"/>
      <c r="F42" s="44" t="n"/>
      <c r="G42" s="44" t="n"/>
      <c r="H42" s="44" t="n"/>
    </row>
  </sheetData>
  <mergeCells count="22">
    <mergeCell ref="F33:H33"/>
    <mergeCell ref="F32:H32"/>
    <mergeCell ref="F35:H35"/>
    <mergeCell ref="B24:H24"/>
    <mergeCell ref="F26:H26"/>
    <mergeCell ref="B5:H5"/>
    <mergeCell ref="D40:H40"/>
    <mergeCell ref="F28:H28"/>
    <mergeCell ref="F31:H31"/>
    <mergeCell ref="F27:H27"/>
    <mergeCell ref="D41:H41"/>
    <mergeCell ref="B3:H3"/>
    <mergeCell ref="B2:H2"/>
    <mergeCell ref="F29:H29"/>
    <mergeCell ref="F25:H25"/>
    <mergeCell ref="F34:H34"/>
    <mergeCell ref="B14:H14"/>
    <mergeCell ref="D39:H39"/>
    <mergeCell ref="D42:H42"/>
    <mergeCell ref="D38:H38"/>
    <mergeCell ref="F30:H30"/>
    <mergeCell ref="B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 ht="28" customHeight="1">
      <c r="B2" s="13" t="inlineStr">
        <is>
          <t>NEBIUS GROUP — CASH FLOW STATEMENT</t>
        </is>
      </c>
    </row>
    <row r="3">
      <c r="B3" s="2" t="inlineStr">
        <is>
          <t>USD Millions | FY2024–FY2025 Actuals | Q1-2026A | FY2026E–FY2030E Base Case Estimates</t>
        </is>
      </c>
    </row>
    <row r="5" ht="18" customHeight="1">
      <c r="B5" s="27" t="inlineStr">
        <is>
          <t>Line Item</t>
        </is>
      </c>
      <c r="C5" s="27" t="inlineStr">
        <is>
          <t>FY2024</t>
        </is>
      </c>
      <c r="D5" s="27" t="inlineStr">
        <is>
          <t>FY2025</t>
        </is>
      </c>
      <c r="E5" s="27" t="inlineStr">
        <is>
          <t>Q1-26A</t>
        </is>
      </c>
      <c r="F5" s="27" t="inlineStr">
        <is>
          <t>2026E</t>
        </is>
      </c>
      <c r="G5" s="27" t="inlineStr">
        <is>
          <t>2027E</t>
        </is>
      </c>
      <c r="H5" s="27" t="inlineStr">
        <is>
          <t>2028E</t>
        </is>
      </c>
      <c r="I5" s="27" t="inlineStr">
        <is>
          <t>2029E</t>
        </is>
      </c>
    </row>
    <row r="6" ht="15" customHeight="1">
      <c r="B6" s="37" t="inlineStr">
        <is>
          <t>OPERATING ACTIVITIES</t>
        </is>
      </c>
      <c r="C6" s="89" t="n"/>
      <c r="D6" s="89" t="n"/>
      <c r="E6" s="89" t="n"/>
      <c r="F6" s="89" t="n"/>
      <c r="G6" s="89" t="n"/>
      <c r="H6" s="89" t="n"/>
      <c r="I6" s="89" t="n"/>
    </row>
    <row r="7" ht="15" customHeight="1">
      <c r="B7" s="8" t="inlineStr">
        <is>
          <t>Net Income (GAAP)</t>
        </is>
      </c>
      <c r="C7" s="12" t="n">
        <v>-641.4</v>
      </c>
      <c r="D7" s="9" t="n">
        <v>101.7</v>
      </c>
      <c r="E7" s="9" t="n">
        <v>621.2</v>
      </c>
      <c r="F7" s="30" t="n"/>
      <c r="G7" s="30" t="n"/>
      <c r="H7" s="30" t="n"/>
      <c r="I7" s="30" t="n"/>
    </row>
    <row r="8" ht="15" customHeight="1">
      <c r="B8" s="8" t="inlineStr">
        <is>
          <t>Depreciation &amp; Amortization</t>
        </is>
      </c>
      <c r="C8" s="9" t="n">
        <v>77.09999999999999</v>
      </c>
      <c r="D8" s="9" t="n">
        <v>404</v>
      </c>
      <c r="E8" s="9" t="n">
        <v>212</v>
      </c>
      <c r="F8" s="9" t="n">
        <v>1792</v>
      </c>
      <c r="G8" s="9" t="n">
        <v>3136</v>
      </c>
      <c r="H8" s="9" t="n">
        <v>4067.2</v>
      </c>
      <c r="I8" s="9" t="n">
        <v>4553.3</v>
      </c>
    </row>
    <row r="9" ht="15" customHeight="1">
      <c r="B9" s="8" t="inlineStr">
        <is>
          <t>Share-Based Compensation</t>
        </is>
      </c>
      <c r="C9" s="9" t="n">
        <v>54.5</v>
      </c>
      <c r="D9" s="9" t="n">
        <v>83.2</v>
      </c>
      <c r="E9" s="30" t="n"/>
      <c r="F9" s="30" t="n"/>
      <c r="G9" s="30" t="n"/>
      <c r="H9" s="30" t="n"/>
      <c r="I9" s="30" t="n"/>
    </row>
    <row r="10" ht="15" customHeight="1">
      <c r="B10" s="8" t="inlineStr">
        <is>
          <t>Change in Deferred Revenue</t>
        </is>
      </c>
      <c r="C10" s="9" t="n">
        <v>10</v>
      </c>
      <c r="D10" s="9" t="n">
        <v>1565.8</v>
      </c>
      <c r="E10" s="30" t="n"/>
      <c r="F10" s="30" t="n"/>
      <c r="G10" s="30" t="n"/>
      <c r="H10" s="30" t="n"/>
      <c r="I10" s="30" t="n"/>
    </row>
    <row r="11" ht="15" customHeight="1">
      <c r="B11" s="8" t="inlineStr">
        <is>
          <t>Change in Accounts Receivable</t>
        </is>
      </c>
      <c r="C11" s="12" t="n">
        <v>-9.800000000000001</v>
      </c>
      <c r="D11" s="12" t="n">
        <v>-714.6</v>
      </c>
      <c r="E11" s="30" t="n"/>
      <c r="F11" s="30" t="n"/>
      <c r="G11" s="30" t="n"/>
      <c r="H11" s="30" t="n"/>
      <c r="I11" s="30" t="n"/>
    </row>
    <row r="12" ht="15" customHeight="1">
      <c r="B12" s="8" t="inlineStr">
        <is>
          <t>Other Operating Changes</t>
        </is>
      </c>
      <c r="C12" s="12" t="n">
        <v>-15</v>
      </c>
      <c r="D12" s="12" t="n">
        <v>-38.2</v>
      </c>
      <c r="E12" s="30" t="n"/>
      <c r="F12" s="30" t="n"/>
      <c r="G12" s="30" t="n"/>
      <c r="H12" s="30" t="n"/>
      <c r="I12" s="30" t="n"/>
    </row>
    <row r="13" ht="15" customHeight="1">
      <c r="B13" s="17" t="inlineStr">
        <is>
          <t>Net Cash from Operations (Cont.)</t>
        </is>
      </c>
      <c r="C13" s="33" t="n">
        <v>-269.9</v>
      </c>
      <c r="D13" s="18" t="n">
        <v>401.9</v>
      </c>
      <c r="E13" s="18" t="n">
        <v>2258</v>
      </c>
      <c r="F13" s="32" t="n"/>
      <c r="G13" s="32" t="n"/>
      <c r="H13" s="32" t="n"/>
      <c r="I13" s="32" t="n"/>
    </row>
    <row r="14" ht="15" customHeight="1">
      <c r="B14" s="37" t="inlineStr">
        <is>
          <t>INVESTING ACTIVITIES</t>
        </is>
      </c>
      <c r="C14" s="89" t="n"/>
      <c r="D14" s="89" t="n"/>
      <c r="E14" s="89" t="n"/>
      <c r="F14" s="89" t="n"/>
      <c r="G14" s="89" t="n"/>
      <c r="H14" s="89" t="n"/>
      <c r="I14" s="89" t="n"/>
    </row>
    <row r="15" ht="15" customHeight="1">
      <c r="B15" s="8" t="inlineStr">
        <is>
          <t>Purchases of PP&amp;E &amp; Intangibles</t>
        </is>
      </c>
      <c r="C15" s="12" t="n">
        <v>-807.5</v>
      </c>
      <c r="D15" s="12" t="n">
        <v>-4066</v>
      </c>
      <c r="E15" s="12" t="n">
        <v>-2472.9</v>
      </c>
      <c r="F15" s="12" t="n">
        <v>-5760</v>
      </c>
      <c r="G15" s="12" t="n">
        <v>-7040</v>
      </c>
      <c r="H15" s="12" t="n">
        <v>-6944</v>
      </c>
      <c r="I15" s="12" t="n">
        <v>-7365.6</v>
      </c>
    </row>
    <row r="16" ht="15" customHeight="1">
      <c r="B16" s="8" t="inlineStr">
        <is>
          <t>Proceeds from Divestment</t>
        </is>
      </c>
      <c r="C16" s="9" t="n">
        <v>1467.4</v>
      </c>
      <c r="D16" s="9" t="n">
        <v>0</v>
      </c>
      <c r="E16" s="30" t="n"/>
      <c r="F16" s="30" t="n"/>
      <c r="G16" s="30" t="n"/>
      <c r="H16" s="30" t="n"/>
      <c r="I16" s="30" t="n"/>
    </row>
    <row r="17" ht="15" customHeight="1">
      <c r="B17" s="8" t="inlineStr">
        <is>
          <t>Other Investing</t>
        </is>
      </c>
      <c r="C17" s="9" t="n">
        <v>10.5</v>
      </c>
      <c r="D17" s="12" t="n">
        <v>-163.2</v>
      </c>
      <c r="E17" s="30" t="n"/>
      <c r="F17" s="30" t="n"/>
      <c r="G17" s="30" t="n"/>
      <c r="H17" s="30" t="n"/>
      <c r="I17" s="30" t="n"/>
    </row>
    <row r="18" ht="15" customHeight="1">
      <c r="B18" s="17" t="inlineStr">
        <is>
          <t>Net Cash from Investing (Cont.)</t>
        </is>
      </c>
      <c r="C18" s="18" t="n">
        <v>672</v>
      </c>
      <c r="D18" s="33" t="n">
        <v>-4229.2</v>
      </c>
      <c r="E18" s="33" t="n">
        <v>-2131</v>
      </c>
      <c r="F18" s="32" t="n"/>
      <c r="G18" s="32" t="n"/>
      <c r="H18" s="32" t="n"/>
      <c r="I18" s="32" t="n"/>
    </row>
    <row r="19" ht="15" customHeight="1">
      <c r="B19" s="37" t="inlineStr">
        <is>
          <t>FINANCING ACTIVITIES</t>
        </is>
      </c>
      <c r="C19" s="89" t="n"/>
      <c r="D19" s="89" t="n"/>
      <c r="E19" s="89" t="n"/>
      <c r="F19" s="89" t="n"/>
      <c r="G19" s="89" t="n"/>
      <c r="H19" s="89" t="n"/>
      <c r="I19" s="89" t="n"/>
    </row>
    <row r="20" ht="15" customHeight="1">
      <c r="B20" s="8" t="inlineStr">
        <is>
          <t>Proceeds from Conv. Notes</t>
        </is>
      </c>
      <c r="C20" s="9" t="n">
        <v>0</v>
      </c>
      <c r="D20" s="9" t="n">
        <v>4162.5</v>
      </c>
      <c r="E20" s="9" t="n">
        <v>4337.5</v>
      </c>
      <c r="F20" s="30" t="n"/>
      <c r="G20" s="30" t="n"/>
      <c r="H20" s="30" t="n"/>
      <c r="I20" s="30" t="n"/>
    </row>
    <row r="21" ht="15" customHeight="1">
      <c r="B21" s="8" t="inlineStr">
        <is>
          <t>Proceeds from Equity/Warrants</t>
        </is>
      </c>
      <c r="C21" s="9" t="n">
        <v>700</v>
      </c>
      <c r="D21" s="9" t="n">
        <v>1150</v>
      </c>
      <c r="E21" s="9" t="n">
        <v>2000</v>
      </c>
      <c r="F21" s="30" t="n"/>
      <c r="G21" s="30" t="n"/>
      <c r="H21" s="30" t="n"/>
      <c r="I21" s="30" t="n"/>
    </row>
    <row r="22" ht="15" customHeight="1">
      <c r="B22" s="17" t="inlineStr">
        <is>
          <t>Net Cash from Financing (Cont.)</t>
        </is>
      </c>
      <c r="C22" s="18" t="n">
        <v>656.8</v>
      </c>
      <c r="D22" s="18" t="n">
        <v>5125.5</v>
      </c>
      <c r="E22" s="18" t="n">
        <v>106.4</v>
      </c>
      <c r="F22" s="32" t="n"/>
      <c r="G22" s="32" t="n"/>
      <c r="H22" s="32" t="n"/>
      <c r="I22" s="32" t="n"/>
    </row>
    <row r="23" ht="15" customHeight="1">
      <c r="B23" s="90" t="inlineStr">
        <is>
          <t>KEY FCF METRICS</t>
        </is>
      </c>
      <c r="C23" s="91" t="n"/>
      <c r="D23" s="91" t="n"/>
      <c r="E23" s="91" t="n"/>
      <c r="F23" s="91" t="n"/>
      <c r="G23" s="91" t="n"/>
      <c r="H23" s="91" t="n"/>
      <c r="I23" s="91" t="n"/>
    </row>
    <row r="24" ht="15" customHeight="1">
      <c r="B24" s="8" t="inlineStr">
        <is>
          <t>Gross CapEx ($M)</t>
        </is>
      </c>
      <c r="C24" s="12" t="n">
        <v>-807.5</v>
      </c>
      <c r="D24" s="12" t="n">
        <v>-4066</v>
      </c>
      <c r="E24" s="12" t="n">
        <v>-2472.9</v>
      </c>
      <c r="F24" s="30" t="n"/>
      <c r="G24" s="30" t="n"/>
      <c r="H24" s="30" t="n"/>
      <c r="I24" s="30" t="n"/>
    </row>
    <row r="25" ht="15" customHeight="1">
      <c r="B25" s="8" t="inlineStr">
        <is>
          <t>CapEx / Revenue</t>
        </is>
      </c>
      <c r="C25" s="11" t="inlineStr">
        <is>
          <t>-882%</t>
        </is>
      </c>
      <c r="D25" s="11" t="inlineStr">
        <is>
          <t>-768%</t>
        </is>
      </c>
      <c r="E25" s="11" t="inlineStr">
        <is>
          <t>-619%</t>
        </is>
      </c>
      <c r="F25" s="30" t="n"/>
      <c r="G25" s="30" t="n"/>
      <c r="H25" s="30" t="n"/>
      <c r="I25" s="30" t="n"/>
    </row>
    <row r="26" ht="15" customHeight="1">
      <c r="B26" s="41" t="inlineStr">
        <is>
          <t>Adj EBITDA</t>
        </is>
      </c>
      <c r="C26" s="92" t="n">
        <v>-226.3</v>
      </c>
      <c r="D26" s="92" t="n">
        <v>-64.90000000000001</v>
      </c>
      <c r="E26" s="93" t="n">
        <v>129.5</v>
      </c>
      <c r="F26" s="93" t="n">
        <v>256</v>
      </c>
      <c r="G26" s="93" t="n">
        <v>1280</v>
      </c>
      <c r="H26" s="93" t="n">
        <v>2976</v>
      </c>
      <c r="I26" s="93" t="n">
        <v>5088.9</v>
      </c>
    </row>
    <row r="27" ht="15" customHeight="1">
      <c r="B27" s="8" t="inlineStr">
        <is>
          <t>Adj EBITDA – CapEx (Proxy FCF)</t>
        </is>
      </c>
      <c r="C27" s="12" t="n">
        <v>-1033.8</v>
      </c>
      <c r="D27" s="12" t="n">
        <v>-4130.9</v>
      </c>
      <c r="E27" s="30" t="n"/>
      <c r="F27" s="30" t="n"/>
      <c r="G27" s="30" t="n"/>
      <c r="H27" s="30" t="n"/>
      <c r="I27" s="30" t="n"/>
    </row>
    <row r="28" ht="15" customHeight="1">
      <c r="B28" s="17" t="inlineStr">
        <is>
          <t>Cash &amp; Equiv (End)</t>
        </is>
      </c>
      <c r="C28" s="18" t="n">
        <v>2434.7</v>
      </c>
      <c r="D28" s="18" t="n">
        <v>3678.1</v>
      </c>
      <c r="E28" s="18" t="n">
        <v>9298.200000000001</v>
      </c>
      <c r="F28" s="32" t="n"/>
      <c r="G28" s="32" t="n"/>
      <c r="H28" s="32" t="n"/>
      <c r="I28" s="32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2026-05-22T14:02:04Z</dcterms:created>
  <dcterms:modified xmlns:dcterms="http://purl.org/dc/terms/" xmlns:xsi="http://www.w3.org/2001/XMLSchema-instance" xsi:type="dcterms:W3CDTF">2026-05-22T14:10:39Z</dcterms:modified>
</cp:coreProperties>
</file>