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Revenue Model1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DCF Model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Comps1" sheetId="10" state="visible" r:id="rId10"/>
    <sheet xmlns:r="http://schemas.openxmlformats.org/officeDocument/2006/relationships" name="Thesis Tracker" sheetId="11" state="visible" r:id="rId11"/>
    <sheet xmlns:r="http://schemas.openxmlformats.org/officeDocument/2006/relationships" name="DCF 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"/>
    <numFmt numFmtId="167" formatCode="$#,##0.00"/>
    <numFmt numFmtId="168" formatCode="0.0000"/>
    <numFmt numFmtId="169" formatCode="$#,##0.0"/>
    <numFmt numFmtId="170" formatCode="$#,##0"/>
    <numFmt numFmtId="171" formatCode="0.0x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.5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color rgb="000000FF"/>
      <sz val="10"/>
    </font>
    <font>
      <name val="Calibri"/>
      <color rgb="00006400"/>
      <sz val="10"/>
    </font>
    <font>
      <name val="Calibri"/>
      <color rgb="00FF0000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color rgb="009C0006"/>
      <sz val="10"/>
    </font>
    <font>
      <name val="Calibri"/>
      <b val="1"/>
      <color rgb="00000000"/>
      <sz val="11"/>
    </font>
    <font>
      <name val="Calibri"/>
      <color rgb="009C6500"/>
      <sz val="10"/>
    </font>
    <font>
      <name val="Calibri"/>
      <color rgb="00276221"/>
      <sz val="10"/>
    </font>
    <font>
      <name val="Calibri"/>
      <b val="1"/>
      <sz val="11"/>
    </font>
    <font>
      <name val="Calibri"/>
      <sz val="9.5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C5D9F1"/>
      </patternFill>
    </fill>
    <fill>
      <patternFill patternType="solid">
        <fgColor rgb="00FFFF00"/>
      </patternFill>
    </fill>
    <fill>
      <patternFill patternType="solid">
        <fgColor rgb="00F0F0F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0AA00"/>
      </patternFill>
    </fill>
    <fill>
      <patternFill patternType="solid">
        <fgColor rgb="00FFA500"/>
      </patternFill>
    </fill>
    <fill>
      <patternFill patternType="solid">
        <fgColor rgb="00C00000"/>
      </patternFill>
    </fill>
    <fill>
      <patternFill patternType="solid">
        <fgColor rgb="00FF7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2"/>
    </xf>
    <xf numFmtId="0" fontId="7" fillId="4" borderId="0" applyAlignment="1" pivotButton="0" quotePrefix="0" xfId="0">
      <alignment horizontal="left" vertical="center" wrapText="1" indent="2"/>
    </xf>
    <xf numFmtId="0" fontId="7" fillId="0" borderId="0" applyAlignment="1" pivotButton="0" quotePrefix="0" xfId="0">
      <alignment horizontal="left" vertical="center" wrapText="1" indent="2"/>
    </xf>
    <xf numFmtId="0" fontId="5" fillId="4" borderId="0" applyAlignment="1" pivotButton="0" quotePrefix="0" xfId="0">
      <alignment horizontal="left" vertical="center" indent="1"/>
    </xf>
    <xf numFmtId="164" fontId="5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left" vertical="center" indent="2"/>
    </xf>
    <xf numFmtId="0" fontId="4" fillId="5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indent="1"/>
    </xf>
    <xf numFmtId="164" fontId="6" fillId="6" borderId="0" applyAlignment="1" pivotButton="0" quotePrefix="0" xfId="0">
      <alignment horizontal="right" vertical="center"/>
    </xf>
    <xf numFmtId="49" fontId="10" fillId="0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right" vertical="center"/>
    </xf>
    <xf numFmtId="49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64" fontId="6" fillId="6" borderId="0" applyAlignment="1" pivotButton="0" quotePrefix="0" xfId="0">
      <alignment horizontal="right"/>
    </xf>
    <xf numFmtId="49" fontId="10" fillId="0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49" fontId="11" fillId="0" borderId="0" applyAlignment="1" pivotButton="0" quotePrefix="0" xfId="0">
      <alignment horizontal="right"/>
    </xf>
    <xf numFmtId="49" fontId="12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3" fontId="10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4" fontId="10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2"/>
    </xf>
    <xf numFmtId="165" fontId="10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7" fontId="10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6" fillId="6" borderId="0" pivotButton="0" quotePrefix="0" xfId="0"/>
    <xf numFmtId="0" fontId="6" fillId="0" borderId="0" applyAlignment="1" pivotButton="0" quotePrefix="0" xfId="0">
      <alignment horizontal="left" vertical="center" indent="2"/>
    </xf>
    <xf numFmtId="0" fontId="5" fillId="0" borderId="0" applyAlignment="1" pivotButton="0" quotePrefix="0" xfId="0">
      <alignment horizontal="left" vertical="center" indent="3"/>
    </xf>
    <xf numFmtId="0" fontId="6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3" fontId="10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3" fontId="10" fillId="6" borderId="0" applyAlignment="1" pivotButton="0" quotePrefix="0" xfId="0">
      <alignment horizontal="right" vertical="center"/>
    </xf>
    <xf numFmtId="3" fontId="5" fillId="6" borderId="0" applyAlignment="1" pivotButton="0" quotePrefix="0" xfId="0">
      <alignment horizontal="right" vertical="center"/>
    </xf>
    <xf numFmtId="0" fontId="0" fillId="6" borderId="0" pivotButton="0" quotePrefix="0" xfId="0"/>
    <xf numFmtId="10" fontId="10" fillId="0" borderId="0" applyAlignment="1" pivotButton="0" quotePrefix="0" xfId="0">
      <alignment horizontal="right" vertical="center"/>
    </xf>
    <xf numFmtId="0" fontId="8" fillId="0" borderId="0" pivotButton="0" quotePrefix="0" xfId="0"/>
    <xf numFmtId="2" fontId="10" fillId="0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indent="2"/>
    </xf>
    <xf numFmtId="10" fontId="6" fillId="7" borderId="0" applyAlignment="1" pivotButton="0" quotePrefix="0" xfId="0">
      <alignment horizontal="right" vertical="center"/>
    </xf>
    <xf numFmtId="0" fontId="8" fillId="7" borderId="0" pivotButton="0" quotePrefix="0" xfId="0"/>
    <xf numFmtId="0" fontId="0" fillId="7" borderId="0" pivotButton="0" quotePrefix="0" xfId="0"/>
    <xf numFmtId="0" fontId="14" fillId="6" borderId="0" applyAlignment="1" pivotButton="0" quotePrefix="0" xfId="0">
      <alignment horizontal="left" vertical="center" indent="2"/>
    </xf>
    <xf numFmtId="0" fontId="13" fillId="0" borderId="0" applyAlignment="1" pivotButton="0" quotePrefix="0" xfId="0">
      <alignment horizontal="left" vertical="center" indent="2"/>
    </xf>
    <xf numFmtId="168" fontId="5" fillId="0" borderId="0" applyAlignment="1" pivotButton="0" quotePrefix="0" xfId="0">
      <alignment horizontal="right" vertical="center"/>
    </xf>
    <xf numFmtId="10" fontId="15" fillId="6" borderId="0" applyAlignment="1" pivotButton="0" quotePrefix="0" xfId="0">
      <alignment horizontal="right" vertical="center"/>
    </xf>
    <xf numFmtId="3" fontId="15" fillId="6" borderId="0" applyAlignment="1" pivotButton="0" quotePrefix="0" xfId="0">
      <alignment horizontal="right" vertical="center"/>
    </xf>
    <xf numFmtId="169" fontId="15" fillId="6" borderId="0" applyAlignment="1" pivotButton="0" quotePrefix="0" xfId="0">
      <alignment horizontal="right" vertical="center"/>
    </xf>
    <xf numFmtId="170" fontId="15" fillId="6" borderId="0" applyAlignment="1" pivotButton="0" quotePrefix="0" xfId="0">
      <alignment horizontal="right" vertical="center"/>
    </xf>
    <xf numFmtId="0" fontId="16" fillId="3" borderId="0" pivotButton="0" quotePrefix="0" xfId="0"/>
    <xf numFmtId="0" fontId="16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170" fontId="17" fillId="9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center"/>
    </xf>
    <xf numFmtId="170" fontId="18" fillId="7" borderId="0" applyAlignment="1" pivotButton="0" quotePrefix="0" xfId="0">
      <alignment horizontal="right" vertical="center"/>
    </xf>
    <xf numFmtId="170" fontId="17" fillId="9" borderId="0" applyAlignment="1" pivotButton="0" quotePrefix="0" xfId="0">
      <alignment horizontal="right"/>
    </xf>
    <xf numFmtId="170" fontId="19" fillId="10" borderId="0" applyAlignment="1" pivotButton="0" quotePrefix="0" xfId="0">
      <alignment horizontal="right"/>
    </xf>
    <xf numFmtId="170" fontId="20" fillId="11" borderId="0" applyAlignment="1" pivotButton="0" quotePrefix="0" xfId="0">
      <alignment horizontal="right"/>
    </xf>
    <xf numFmtId="170" fontId="21" fillId="7" borderId="0" applyAlignment="1" pivotButton="0" quotePrefix="0" xfId="0">
      <alignment horizontal="right"/>
    </xf>
    <xf numFmtId="0" fontId="13" fillId="4" borderId="0" applyAlignment="1" pivotButton="0" quotePrefix="0" xfId="0">
      <alignment horizontal="left" vertical="center" indent="1"/>
    </xf>
    <xf numFmtId="3" fontId="14" fillId="9" borderId="0" applyAlignment="1" pivotButton="0" quotePrefix="0" xfId="0">
      <alignment horizontal="right"/>
    </xf>
    <xf numFmtId="3" fontId="14" fillId="10" borderId="0" applyAlignment="1" pivotButton="0" quotePrefix="0" xfId="0">
      <alignment horizontal="right"/>
    </xf>
    <xf numFmtId="3" fontId="14" fillId="11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14" fillId="9" borderId="0" applyAlignment="1" pivotButton="0" quotePrefix="0" xfId="0">
      <alignment horizontal="right"/>
    </xf>
    <xf numFmtId="164" fontId="14" fillId="10" borderId="0" applyAlignment="1" pivotButton="0" quotePrefix="0" xfId="0">
      <alignment horizontal="right"/>
    </xf>
    <xf numFmtId="164" fontId="14" fillId="11" borderId="0" applyAlignment="1" pivotButton="0" quotePrefix="0" xfId="0">
      <alignment horizontal="right"/>
    </xf>
    <xf numFmtId="165" fontId="5" fillId="4" borderId="0" applyAlignment="1" pivotButton="0" quotePrefix="0" xfId="0">
      <alignment horizontal="right" vertical="center"/>
    </xf>
    <xf numFmtId="171" fontId="5" fillId="4" borderId="0" applyAlignment="1" pivotButton="0" quotePrefix="0" xfId="0">
      <alignment horizontal="right" vertical="center"/>
    </xf>
    <xf numFmtId="171" fontId="5" fillId="0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/>
    </xf>
    <xf numFmtId="164" fontId="16" fillId="3" borderId="0" applyAlignment="1" pivotButton="0" quotePrefix="0" xfId="0">
      <alignment horizontal="right" vertical="center"/>
    </xf>
    <xf numFmtId="165" fontId="16" fillId="3" borderId="0" applyAlignment="1" pivotButton="0" quotePrefix="0" xfId="0">
      <alignment horizontal="right" vertical="center"/>
    </xf>
    <xf numFmtId="171" fontId="16" fillId="3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right" vertical="center"/>
    </xf>
    <xf numFmtId="171" fontId="6" fillId="6" borderId="0" applyAlignment="1" pivotButton="0" quotePrefix="0" xfId="0">
      <alignment horizontal="right"/>
    </xf>
    <xf numFmtId="49" fontId="5" fillId="4" borderId="0" applyAlignment="1" pivotButton="0" quotePrefix="0" xfId="0">
      <alignment horizontal="left" indent="1"/>
    </xf>
    <xf numFmtId="49" fontId="5" fillId="4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49" fontId="5" fillId="0" borderId="0" applyAlignment="1" pivotButton="0" quotePrefix="0" xfId="0">
      <alignment horizontal="left" indent="1"/>
    </xf>
    <xf numFmtId="0" fontId="3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indent="1"/>
    </xf>
    <xf numFmtId="0" fontId="16" fillId="12" borderId="0" applyAlignment="1" pivotButton="0" quotePrefix="0" xfId="0">
      <alignment horizontal="center" vertical="center" indent="1"/>
    </xf>
    <xf numFmtId="0" fontId="7" fillId="0" borderId="0" applyAlignment="1" pivotButton="0" quotePrefix="0" xfId="0">
      <alignment horizontal="center" vertical="center" indent="1"/>
    </xf>
    <xf numFmtId="0" fontId="16" fillId="13" borderId="0" applyAlignment="1" pivotButton="0" quotePrefix="0" xfId="0">
      <alignment horizontal="center" vertical="center" indent="1"/>
    </xf>
    <xf numFmtId="0" fontId="3" fillId="14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center" vertical="center" indent="1"/>
    </xf>
    <xf numFmtId="0" fontId="16" fillId="14" borderId="0" applyAlignment="1" pivotButton="0" quotePrefix="0" xfId="0">
      <alignment horizontal="center" vertical="center" indent="1"/>
    </xf>
    <xf numFmtId="0" fontId="16" fillId="15" borderId="0" applyAlignment="1" pivotButton="0" quotePrefix="0" xfId="0">
      <alignment horizontal="center" vertical="center" indent="1"/>
    </xf>
    <xf numFmtId="0" fontId="3" fillId="3" borderId="0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left" vertical="center" wrapText="1" indent="1"/>
    </xf>
    <xf numFmtId="0" fontId="22" fillId="4" borderId="0" applyAlignment="1" pivotButton="0" quotePrefix="0" xfId="0">
      <alignment horizontal="center" vertical="center" indent="1"/>
    </xf>
    <xf numFmtId="0" fontId="8" fillId="0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left" vertical="center" indent="2"/>
    </xf>
    <xf numFmtId="0" fontId="10" fillId="7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 indent="1"/>
    </xf>
    <xf numFmtId="0" fontId="13" fillId="4" borderId="0" applyAlignment="1" pivotButton="0" quotePrefix="0" xfId="0">
      <alignment horizontal="left" vertical="center" indent="2"/>
    </xf>
    <xf numFmtId="0" fontId="10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M3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8" customHeight="1"/>
    <row r="2" ht="38" customHeight="1">
      <c r="B2" s="1" t="inlineStr">
        <is>
          <t>COREWEAVE (CRWV) — INITIATING COVERAGE  |  THE ESSENTIAL AI CLOUD</t>
        </is>
      </c>
    </row>
    <row r="3">
      <c r="B3" s="2" t="inlineStr">
        <is>
          <t>Equity Research | Technology — AI Cloud Infrastructure | Initiating Coverage | May 22, 2026</t>
        </is>
      </c>
    </row>
    <row r="5">
      <c r="B5" s="3" t="inlineStr">
        <is>
          <t>STOCK DATA</t>
        </is>
      </c>
      <c r="C5" s="3" t="inlineStr"/>
      <c r="D5" s="3" t="inlineStr"/>
      <c r="E5" s="3" t="inlineStr"/>
      <c r="F5" s="3" t="inlineStr">
        <is>
          <t>RATING &amp; TARGET</t>
        </is>
      </c>
      <c r="G5" s="3" t="inlineStr"/>
      <c r="H5" s="3" t="inlineStr"/>
      <c r="I5" s="3" t="inlineStr">
        <is>
          <t>VALUATION (NTM)</t>
        </is>
      </c>
      <c r="J5" s="3" t="inlineStr"/>
      <c r="K5" s="3" t="inlineStr"/>
      <c r="L5" s="3" t="inlineStr">
        <is>
          <t>CONSENSUS</t>
        </is>
      </c>
      <c r="M5" s="3" t="inlineStr"/>
    </row>
    <row r="6" ht="18" customHeight="1">
      <c r="B6" s="4" t="inlineStr">
        <is>
          <t>Current Price</t>
        </is>
      </c>
      <c r="C6" s="5" t="inlineStr">
        <is>
          <t>$107.58</t>
        </is>
      </c>
      <c r="D6" s="6" t="n"/>
      <c r="E6" s="6" t="n"/>
      <c r="F6" s="4" t="inlineStr">
        <is>
          <t>Rating</t>
        </is>
      </c>
      <c r="G6" s="7" t="inlineStr">
        <is>
          <t>BUY ▲</t>
        </is>
      </c>
      <c r="H6" s="6" t="n"/>
      <c r="I6" s="4" t="inlineStr">
        <is>
          <t>EV/NTM Rev</t>
        </is>
      </c>
      <c r="J6" s="5" t="inlineStr">
        <is>
          <t>6.5x</t>
        </is>
      </c>
      <c r="K6" s="6" t="n"/>
      <c r="L6" s="4" t="inlineStr">
        <is>
          <t>Avg PT</t>
        </is>
      </c>
      <c r="M6" s="5" t="inlineStr">
        <is>
          <t>$225</t>
        </is>
      </c>
    </row>
    <row r="7" ht="18" customHeight="1">
      <c r="B7" s="8" t="inlineStr">
        <is>
          <t>Market Cap</t>
        </is>
      </c>
      <c r="C7" s="9" t="inlineStr">
        <is>
          <t>$58.7B</t>
        </is>
      </c>
      <c r="F7" s="8" t="inlineStr">
        <is>
          <t>Price Target</t>
        </is>
      </c>
      <c r="G7" s="10" t="inlineStr">
        <is>
          <t>$215</t>
        </is>
      </c>
      <c r="I7" s="8" t="inlineStr">
        <is>
          <t>EV/NTM EBITDA</t>
        </is>
      </c>
      <c r="J7" s="9" t="inlineStr">
        <is>
          <t>11.4x</t>
        </is>
      </c>
      <c r="L7" s="8" t="inlineStr">
        <is>
          <t>High PT</t>
        </is>
      </c>
      <c r="M7" s="9" t="inlineStr">
        <is>
          <t>$235</t>
        </is>
      </c>
    </row>
    <row r="8" ht="18" customHeight="1">
      <c r="B8" s="4" t="inlineStr">
        <is>
          <t>Enterprise Value</t>
        </is>
      </c>
      <c r="C8" s="5" t="inlineStr">
        <is>
          <t>$81.3B</t>
        </is>
      </c>
      <c r="D8" s="6" t="n"/>
      <c r="E8" s="6" t="n"/>
      <c r="F8" s="4" t="inlineStr">
        <is>
          <t>Upside/Dwn</t>
        </is>
      </c>
      <c r="G8" s="7" t="inlineStr">
        <is>
          <t>100%</t>
        </is>
      </c>
      <c r="H8" s="6" t="n"/>
      <c r="I8" s="4" t="inlineStr">
        <is>
          <t>P/S (NTM)</t>
        </is>
      </c>
      <c r="J8" s="5" t="inlineStr">
        <is>
          <t>4.7x</t>
        </is>
      </c>
      <c r="K8" s="6" t="n"/>
      <c r="L8" s="4" t="inlineStr">
        <is>
          <t>Low PT</t>
        </is>
      </c>
      <c r="M8" s="5" t="inlineStr">
        <is>
          <t>$215</t>
        </is>
      </c>
    </row>
    <row r="9" ht="18" customHeight="1">
      <c r="B9" s="8" t="inlineStr">
        <is>
          <t>Net Debt</t>
        </is>
      </c>
      <c r="C9" s="9" t="inlineStr">
        <is>
          <t>$22.6B</t>
        </is>
      </c>
      <c r="F9" s="8" t="inlineStr">
        <is>
          <t>52-Wk High</t>
        </is>
      </c>
      <c r="G9" s="9" t="inlineStr">
        <is>
          <t>$187.00</t>
        </is>
      </c>
      <c r="I9" s="8" t="inlineStr">
        <is>
          <t>Rev Backlog / EV</t>
        </is>
      </c>
      <c r="J9" s="9" t="inlineStr">
        <is>
          <t>1.2x</t>
        </is>
      </c>
      <c r="L9" s="8" t="inlineStr">
        <is>
          <t># Analysts</t>
        </is>
      </c>
      <c r="M9" s="9" t="inlineStr">
        <is>
          <t>2</t>
        </is>
      </c>
    </row>
    <row r="10" ht="18" customHeight="1">
      <c r="B10" s="4" t="inlineStr">
        <is>
          <t>Shares Out (M)</t>
        </is>
      </c>
      <c r="C10" s="5" t="inlineStr">
        <is>
          <t>~520M</t>
        </is>
      </c>
      <c r="D10" s="6" t="n"/>
      <c r="E10" s="6" t="n"/>
      <c r="F10" s="4" t="inlineStr">
        <is>
          <t>52-Wk Low</t>
        </is>
      </c>
      <c r="G10" s="5" t="inlineStr">
        <is>
          <t>$37.08</t>
        </is>
      </c>
      <c r="H10" s="6" t="n"/>
      <c r="I10" s="4" t="inlineStr">
        <is>
          <t>Backlog ($B)</t>
        </is>
      </c>
      <c r="J10" s="5" t="inlineStr">
        <is>
          <t>$99.4B</t>
        </is>
      </c>
      <c r="K10" s="6" t="n"/>
      <c r="L10" s="4" t="inlineStr"/>
      <c r="M10" s="5" t="inlineStr"/>
    </row>
    <row r="12">
      <c r="B12" s="11" t="inlineStr">
        <is>
          <t>INVESTMENT THESIS</t>
        </is>
      </c>
    </row>
    <row r="13" ht="24" customHeight="1">
      <c r="B13" s="12" t="inlineStr">
        <is>
          <t>1.  REVENUE VISIBILITY: $99.4B revenue backlog (Q1'26) represents ~7x trailing 12-month revenue — strongest contracted pipeline of any public cloud company.</t>
        </is>
      </c>
    </row>
    <row r="14" ht="24" customHeight="1">
      <c r="B14" s="13" t="inlineStr">
        <is>
          <t>2.  HYPERGROWTH WITH DURABLE DEMAND: 167% YoY revenue growth in FY2025, guided $12-13B in FY2026 (+142% midpoint). Secular shift from training-only to training + inference broadens addressable market.</t>
        </is>
      </c>
    </row>
    <row r="15" ht="24" customHeight="1">
      <c r="B15" s="12" t="inlineStr">
        <is>
          <t>3.  CUSTOMER QUALITY: Hyperscaler-grade counterparties (Meta $21B, OpenAI $11.2B, Anthropic, Microsoft) with long-duration contracts remove near-term demand risk.</t>
        </is>
      </c>
    </row>
    <row r="16" ht="24" customHeight="1">
      <c r="B16" s="13" t="inlineStr">
        <is>
          <t>4.  NVIDIA PARTNERSHIP MOAT: Priority access to GB200 NVL72 and Blackwell infrastructure via deep NVIDIA relationship (NVDA holds equity stake). Platform-of-record status for frontier AI labs.</t>
        </is>
      </c>
    </row>
    <row r="17" ht="24" customHeight="1">
      <c r="B17" s="12" t="inlineStr">
        <is>
          <t>5.  EBITDA ECONOMICS: 60%+ Adj. EBITDA margins demonstrate asset-heavy infrastructure can generate exceptional cash flow once capex cycle normalizes.</t>
        </is>
      </c>
    </row>
    <row r="18" ht="24" customHeight="1">
      <c r="B18" s="13" t="inlineStr">
        <is>
          <t>6.  CAPEX INTENSITY RISK: ~$25B outstanding debt + $31-35B guided 2026 capex requires sustained capital markets access. Leverage is a key sensitivity.</t>
        </is>
      </c>
    </row>
    <row r="20">
      <c r="B20" s="11" t="inlineStr">
        <is>
          <t>KEY FINANCIALS SNAPSHOT ($M unless noted)</t>
        </is>
      </c>
    </row>
    <row r="21">
      <c r="B21" s="3" t="inlineStr">
        <is>
          <t>Metric</t>
        </is>
      </c>
      <c r="C21" s="3" t="inlineStr">
        <is>
          <t>FY2022A</t>
        </is>
      </c>
      <c r="D21" s="3" t="inlineStr">
        <is>
          <t>FY2023A</t>
        </is>
      </c>
      <c r="E21" s="3" t="inlineStr">
        <is>
          <t>FY2024A</t>
        </is>
      </c>
      <c r="F21" s="3" t="inlineStr">
        <is>
          <t>FY2025A</t>
        </is>
      </c>
      <c r="G21" s="3" t="inlineStr">
        <is>
          <t>Q1'26A</t>
        </is>
      </c>
      <c r="H21" s="3" t="inlineStr">
        <is>
          <t>FY2026E</t>
        </is>
      </c>
      <c r="I21" s="3" t="inlineStr">
        <is>
          <t>FY2027E</t>
        </is>
      </c>
      <c r="J21" s="3" t="inlineStr">
        <is>
          <t>FY2028E</t>
        </is>
      </c>
    </row>
    <row r="22" ht="18" customHeight="1">
      <c r="B22" s="14" t="inlineStr">
        <is>
          <t>Revenue ($M)</t>
        </is>
      </c>
      <c r="C22" s="15" t="n">
        <v>15.8</v>
      </c>
      <c r="D22" s="15" t="n">
        <v>229</v>
      </c>
      <c r="E22" s="15" t="n">
        <v>1915</v>
      </c>
      <c r="F22" s="15" t="n">
        <v>5131</v>
      </c>
      <c r="G22" s="15" t="n">
        <v>2078</v>
      </c>
      <c r="H22" s="15" t="n">
        <v>12468</v>
      </c>
      <c r="I22" s="15" t="n">
        <v>21196</v>
      </c>
      <c r="J22" s="15" t="n">
        <v>30734</v>
      </c>
    </row>
    <row r="23" ht="18" customHeight="1">
      <c r="B23" s="16" t="inlineStr">
        <is>
          <t>YoY Rev Growth</t>
        </is>
      </c>
      <c r="C23" s="17" t="inlineStr">
        <is>
          <t>N/A</t>
        </is>
      </c>
      <c r="D23" s="17" t="inlineStr">
        <is>
          <t>1,347%</t>
        </is>
      </c>
      <c r="E23" s="17" t="inlineStr">
        <is>
          <t>736%</t>
        </is>
      </c>
      <c r="F23" s="17" t="inlineStr">
        <is>
          <t>168%</t>
        </is>
      </c>
      <c r="G23" s="17" t="inlineStr">
        <is>
          <t>112%</t>
        </is>
      </c>
      <c r="H23" s="17" t="inlineStr">
        <is>
          <t>142%</t>
        </is>
      </c>
      <c r="I23" s="17" t="inlineStr">
        <is>
          <t>70%</t>
        </is>
      </c>
      <c r="J23" s="17" t="inlineStr">
        <is>
          <t>45%</t>
        </is>
      </c>
    </row>
    <row r="24" ht="18" customHeight="1">
      <c r="B24" s="14" t="inlineStr">
        <is>
          <t>Adj. EBITDA ($M)</t>
        </is>
      </c>
      <c r="C24" s="15" t="n">
        <v>-9.9</v>
      </c>
      <c r="D24" s="15" t="n">
        <v>103.9</v>
      </c>
      <c r="E24" s="15" t="n">
        <v>1218</v>
      </c>
      <c r="F24" s="15" t="n">
        <v>3093</v>
      </c>
      <c r="G24" s="15" t="n">
        <v>1157</v>
      </c>
      <c r="H24" s="15" t="n">
        <v>7107</v>
      </c>
      <c r="I24" s="15" t="n">
        <v>12506</v>
      </c>
      <c r="J24" s="15" t="n">
        <v>18748</v>
      </c>
    </row>
    <row r="25" ht="18" customHeight="1">
      <c r="B25" s="16" t="inlineStr">
        <is>
          <t>Adj. EBITDA Mgn</t>
        </is>
      </c>
      <c r="C25" s="17" t="inlineStr">
        <is>
          <t>NM</t>
        </is>
      </c>
      <c r="D25" s="17" t="inlineStr">
        <is>
          <t>45%</t>
        </is>
      </c>
      <c r="E25" s="17" t="inlineStr">
        <is>
          <t>64%</t>
        </is>
      </c>
      <c r="F25" s="17" t="inlineStr">
        <is>
          <t>60%</t>
        </is>
      </c>
      <c r="G25" s="17" t="inlineStr">
        <is>
          <t>56%</t>
        </is>
      </c>
      <c r="H25" s="17" t="inlineStr">
        <is>
          <t>57%</t>
        </is>
      </c>
      <c r="I25" s="17" t="inlineStr">
        <is>
          <t>59%</t>
        </is>
      </c>
      <c r="J25" s="17" t="inlineStr">
        <is>
          <t>61%</t>
        </is>
      </c>
    </row>
    <row r="26" ht="18" customHeight="1">
      <c r="B26" s="14" t="inlineStr">
        <is>
          <t>Net Income ($M)</t>
        </is>
      </c>
      <c r="C26" s="15" t="n">
        <v>-27</v>
      </c>
      <c r="D26" s="15" t="n">
        <v>-45</v>
      </c>
      <c r="E26" s="15" t="n">
        <v>-65</v>
      </c>
      <c r="F26" s="15" t="n">
        <v>-606</v>
      </c>
      <c r="G26" s="15" t="n">
        <v>-740</v>
      </c>
      <c r="H26" s="18" t="n"/>
      <c r="I26" s="18" t="n"/>
      <c r="J26" s="18" t="n"/>
    </row>
    <row r="27" ht="18" customHeight="1">
      <c r="B27" s="16" t="inlineStr">
        <is>
          <t>CapEx ($M)</t>
        </is>
      </c>
      <c r="C27" s="19" t="n">
        <v>72.40000000000001</v>
      </c>
      <c r="D27" s="19" t="n">
        <v>2943</v>
      </c>
      <c r="E27" s="19" t="n">
        <v>8702</v>
      </c>
      <c r="F27" s="19" t="n">
        <v>10309</v>
      </c>
      <c r="G27" s="19" t="n">
        <v>7695</v>
      </c>
      <c r="H27" s="17" t="inlineStr">
        <is>
          <t>~$32,000+</t>
        </is>
      </c>
      <c r="I27" s="17" t="n"/>
      <c r="J27" s="17" t="n"/>
    </row>
    <row r="28" ht="18" customHeight="1">
      <c r="B28" s="14" t="inlineStr">
        <is>
          <t>Rev Backlog ($B)</t>
        </is>
      </c>
      <c r="C28" s="18" t="inlineStr">
        <is>
          <t>N/A</t>
        </is>
      </c>
      <c r="D28" s="18" t="inlineStr">
        <is>
          <t>N/A</t>
        </is>
      </c>
      <c r="E28" s="18" t="inlineStr">
        <is>
          <t>N/A</t>
        </is>
      </c>
      <c r="F28" s="15" t="n">
        <v>66.8</v>
      </c>
      <c r="G28" s="15" t="n">
        <v>99.40000000000001</v>
      </c>
      <c r="H28" s="18" t="n"/>
      <c r="I28" s="18" t="n"/>
      <c r="J28" s="18" t="n"/>
    </row>
    <row r="30" ht="25" customHeight="1">
      <c r="B30" s="20" t="inlineStr">
        <is>
          <t>Sources: CoreWeave Q1'26 press release (May 7, 2026), FY2025 annual results (Feb 26, 2026), SEC filings. FY2026E-2028E are analyst estimates (Base case). WACC=12.1%, TGR=3.5%.</t>
        </is>
      </c>
    </row>
  </sheetData>
  <mergeCells count="11">
    <mergeCell ref="B2:M2"/>
    <mergeCell ref="B16:M16"/>
    <mergeCell ref="B15:M15"/>
    <mergeCell ref="B3:M3"/>
    <mergeCell ref="B20:M20"/>
    <mergeCell ref="B14:M14"/>
    <mergeCell ref="B17:M17"/>
    <mergeCell ref="B18:M18"/>
    <mergeCell ref="B13:M13"/>
    <mergeCell ref="B30:M30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P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2">
      <c r="B2" s="21" t="inlineStr">
        <is>
          <t>REVENUE MODEL — SEGMENT BUILD &amp; SCENARIO ANALYSIS</t>
        </is>
      </c>
    </row>
    <row r="4">
      <c r="B4" s="3" t="inlineStr">
        <is>
          <t>($M unless noted)</t>
        </is>
      </c>
      <c r="C4" s="3" t="inlineStr">
        <is>
          <t>FY2022A</t>
        </is>
      </c>
      <c r="D4" s="3" t="inlineStr">
        <is>
          <t>FY2023A</t>
        </is>
      </c>
      <c r="E4" s="3" t="inlineStr">
        <is>
          <t>FY2024A</t>
        </is>
      </c>
      <c r="F4" s="3" t="inlineStr">
        <is>
          <t>FY2025A</t>
        </is>
      </c>
      <c r="G4" s="3" t="inlineStr">
        <is>
          <t>FY2026E</t>
        </is>
      </c>
      <c r="H4" s="3" t="inlineStr">
        <is>
          <t>FY2027E</t>
        </is>
      </c>
      <c r="I4" s="3" t="inlineStr">
        <is>
          <t>FY2028E</t>
        </is>
      </c>
      <c r="J4" s="3" t="inlineStr">
        <is>
          <t>FY2029E</t>
        </is>
      </c>
      <c r="K4" s="3" t="inlineStr">
        <is>
          <t>FY2030E</t>
        </is>
      </c>
      <c r="L4" s="3" t="inlineStr">
        <is>
          <t>FY2026 Bull</t>
        </is>
      </c>
      <c r="M4" s="3" t="inlineStr">
        <is>
          <t>FY2027 Bull</t>
        </is>
      </c>
      <c r="N4" s="3" t="inlineStr">
        <is>
          <t>FY2026 Bear</t>
        </is>
      </c>
      <c r="O4" s="3" t="inlineStr">
        <is>
          <t>FY2027 Bear</t>
        </is>
      </c>
    </row>
    <row r="5">
      <c r="B5" s="22" t="inlineStr">
        <is>
          <t>TOTAL REVENUE</t>
        </is>
      </c>
    </row>
    <row r="6">
      <c r="B6" s="16" t="inlineStr">
        <is>
          <t>GPU Compute Revenue (est.)</t>
        </is>
      </c>
      <c r="C6" s="23" t="n">
        <v>13.43</v>
      </c>
      <c r="D6" s="23" t="n">
        <v>194.65</v>
      </c>
      <c r="E6" s="23" t="n">
        <v>1627.75</v>
      </c>
      <c r="F6" s="23" t="n">
        <v>4361.349999999999</v>
      </c>
      <c r="G6" s="19" t="n">
        <v>10598.1</v>
      </c>
      <c r="H6" s="19" t="n">
        <v>18016.7</v>
      </c>
      <c r="I6" s="19" t="n">
        <v>26124.3</v>
      </c>
      <c r="J6" s="19" t="n">
        <v>33961.5</v>
      </c>
      <c r="K6" s="19" t="n">
        <v>41433.1</v>
      </c>
      <c r="L6" s="24" t="n">
        <v>11121.4</v>
      </c>
      <c r="M6" s="24" t="n">
        <v>20018.6</v>
      </c>
      <c r="N6" s="25" t="n">
        <v>9813</v>
      </c>
      <c r="O6" s="25" t="n">
        <v>15210.2</v>
      </c>
    </row>
    <row r="7">
      <c r="B7" s="16" t="inlineStr">
        <is>
          <t>Software &amp; Managed Services (est.)</t>
        </is>
      </c>
      <c r="C7" s="23" t="n">
        <v>1.58</v>
      </c>
      <c r="D7" s="23" t="n">
        <v>22.9</v>
      </c>
      <c r="E7" s="23" t="n">
        <v>191.5</v>
      </c>
      <c r="F7" s="23" t="n">
        <v>513.1</v>
      </c>
      <c r="G7" s="19" t="n">
        <v>1246.8</v>
      </c>
      <c r="H7" s="19" t="n">
        <v>2119.6</v>
      </c>
      <c r="I7" s="19" t="n">
        <v>3073.4</v>
      </c>
      <c r="J7" s="19" t="n">
        <v>3995.5</v>
      </c>
      <c r="K7" s="19" t="n">
        <v>4874.5</v>
      </c>
      <c r="L7" s="24" t="n">
        <v>1308.4</v>
      </c>
      <c r="M7" s="24" t="n">
        <v>2355.1</v>
      </c>
      <c r="N7" s="25" t="n">
        <v>1154.5</v>
      </c>
      <c r="O7" s="25" t="n">
        <v>1789.4</v>
      </c>
    </row>
    <row r="8">
      <c r="B8" s="16" t="inlineStr">
        <is>
          <t>Storage &amp; Networking (est.)</t>
        </is>
      </c>
      <c r="C8" s="23" t="n">
        <v>0.79</v>
      </c>
      <c r="D8" s="23" t="n">
        <v>11.45</v>
      </c>
      <c r="E8" s="23" t="n">
        <v>95.75</v>
      </c>
      <c r="F8" s="23" t="n">
        <v>256.55</v>
      </c>
      <c r="G8" s="19" t="n">
        <v>623.4</v>
      </c>
      <c r="H8" s="19" t="n">
        <v>1059.8</v>
      </c>
      <c r="I8" s="19" t="n">
        <v>1536.7</v>
      </c>
      <c r="J8" s="19" t="n">
        <v>1997.7</v>
      </c>
      <c r="K8" s="19" t="n">
        <v>2437.2</v>
      </c>
      <c r="L8" s="24" t="n">
        <v>654.2</v>
      </c>
      <c r="M8" s="24" t="n">
        <v>1177.6</v>
      </c>
      <c r="N8" s="25" t="n">
        <v>577.2</v>
      </c>
      <c r="O8" s="25" t="n">
        <v>894.7</v>
      </c>
    </row>
    <row r="9">
      <c r="B9" s="26" t="inlineStr">
        <is>
          <t>TOTAL REVENUE</t>
        </is>
      </c>
      <c r="C9" s="27" t="n">
        <v>15.8</v>
      </c>
      <c r="D9" s="27" t="n">
        <v>229</v>
      </c>
      <c r="E9" s="27" t="n">
        <v>1915</v>
      </c>
      <c r="F9" s="27" t="n">
        <v>5131</v>
      </c>
      <c r="G9" s="27" t="n">
        <v>12468.3</v>
      </c>
      <c r="H9" s="27" t="n">
        <v>21196.2</v>
      </c>
      <c r="I9" s="27" t="n">
        <v>30734.4</v>
      </c>
      <c r="J9" s="27" t="n">
        <v>39954.8</v>
      </c>
      <c r="K9" s="27" t="n">
        <v>48744.8</v>
      </c>
      <c r="L9" s="27" t="n">
        <v>13084</v>
      </c>
      <c r="M9" s="27" t="n">
        <v>23551.3</v>
      </c>
      <c r="N9" s="27" t="n">
        <v>11544.8</v>
      </c>
      <c r="O9" s="27" t="n">
        <v>17894.4</v>
      </c>
    </row>
    <row r="11">
      <c r="B11" s="22" t="inlineStr">
        <is>
          <t>YoY REVENUE GROWTH (%)</t>
        </is>
      </c>
    </row>
    <row r="12">
      <c r="B12" s="16" t="inlineStr">
        <is>
          <t>Base Case Growth</t>
        </is>
      </c>
      <c r="C12" s="28" t="inlineStr">
        <is>
          <t>N/A</t>
        </is>
      </c>
      <c r="D12" s="28" t="inlineStr">
        <is>
          <t>1,347%</t>
        </is>
      </c>
      <c r="E12" s="28" t="inlineStr">
        <is>
          <t>736%</t>
        </is>
      </c>
      <c r="F12" s="28" t="inlineStr">
        <is>
          <t>168%</t>
        </is>
      </c>
      <c r="G12" s="29" t="inlineStr">
        <is>
          <t>143%</t>
        </is>
      </c>
      <c r="H12" s="29" t="inlineStr">
        <is>
          <t>70%</t>
        </is>
      </c>
      <c r="I12" s="29" t="inlineStr">
        <is>
          <t>45%</t>
        </is>
      </c>
      <c r="J12" s="29" t="inlineStr">
        <is>
          <t>30%</t>
        </is>
      </c>
      <c r="K12" s="29" t="inlineStr">
        <is>
          <t>22%</t>
        </is>
      </c>
    </row>
    <row r="13">
      <c r="B13" s="16" t="inlineStr">
        <is>
          <t>Bull Case Growth</t>
        </is>
      </c>
      <c r="C13" s="28" t="inlineStr">
        <is>
          <t>N/A</t>
        </is>
      </c>
      <c r="D13" s="28" t="inlineStr">
        <is>
          <t>1,347%</t>
        </is>
      </c>
      <c r="E13" s="28" t="inlineStr">
        <is>
          <t>736%</t>
        </is>
      </c>
      <c r="F13" s="28" t="inlineStr">
        <is>
          <t>168%</t>
        </is>
      </c>
      <c r="G13" s="29" t="inlineStr">
        <is>
          <t>155%</t>
        </is>
      </c>
      <c r="H13" s="29" t="inlineStr">
        <is>
          <t>80%</t>
        </is>
      </c>
      <c r="I13" s="29" t="inlineStr">
        <is>
          <t>—</t>
        </is>
      </c>
      <c r="J13" s="29" t="inlineStr">
        <is>
          <t>—</t>
        </is>
      </c>
      <c r="K13" s="29" t="inlineStr">
        <is>
          <t>—</t>
        </is>
      </c>
      <c r="L13" s="30" t="inlineStr">
        <is>
          <t>155%</t>
        </is>
      </c>
      <c r="M13" s="30" t="inlineStr">
        <is>
          <t>80%</t>
        </is>
      </c>
    </row>
  </sheetData>
  <mergeCells count="3">
    <mergeCell ref="B11:P11"/>
    <mergeCell ref="B5:P5"/>
    <mergeCell ref="B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2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2">
      <c r="B2" s="21" t="inlineStr">
        <is>
          <t>REVENUE MODEL — SEGMENT BUILD &amp; SCENARIO ANALYSIS</t>
        </is>
      </c>
    </row>
    <row r="4">
      <c r="B4" s="3" t="inlineStr">
        <is>
          <t>($M unless noted)</t>
        </is>
      </c>
      <c r="C4" s="3" t="inlineStr">
        <is>
          <t>FY2022A</t>
        </is>
      </c>
      <c r="D4" s="3" t="inlineStr">
        <is>
          <t>FY2023A</t>
        </is>
      </c>
      <c r="E4" s="3" t="inlineStr">
        <is>
          <t>FY2024A</t>
        </is>
      </c>
      <c r="F4" s="3" t="inlineStr">
        <is>
          <t>FY2025A</t>
        </is>
      </c>
      <c r="G4" s="3" t="inlineStr">
        <is>
          <t>FY2026E</t>
        </is>
      </c>
      <c r="H4" s="3" t="inlineStr">
        <is>
          <t>FY2027E</t>
        </is>
      </c>
      <c r="I4" s="3" t="inlineStr">
        <is>
          <t>FY2028E</t>
        </is>
      </c>
      <c r="J4" s="3" t="inlineStr">
        <is>
          <t>FY2029E</t>
        </is>
      </c>
      <c r="K4" s="3" t="inlineStr">
        <is>
          <t>FY2030E</t>
        </is>
      </c>
      <c r="L4" s="3" t="inlineStr">
        <is>
          <t>FY2026 Bull</t>
        </is>
      </c>
      <c r="M4" s="3" t="inlineStr">
        <is>
          <t>FY2027 Bull</t>
        </is>
      </c>
      <c r="N4" s="3" t="inlineStr">
        <is>
          <t>FY2026 Bear</t>
        </is>
      </c>
      <c r="O4" s="3" t="inlineStr">
        <is>
          <t>FY2027 Bear</t>
        </is>
      </c>
    </row>
    <row r="5">
      <c r="B5" s="22" t="inlineStr">
        <is>
          <t>TOTAL REVENUE DECOMPOSITION</t>
        </is>
      </c>
    </row>
    <row r="6">
      <c r="B6" s="31" t="inlineStr">
        <is>
          <t>GPU Compute (est. ~85% mix)</t>
        </is>
      </c>
      <c r="C6" s="32" t="n">
        <v>13.43</v>
      </c>
      <c r="D6" s="32" t="n">
        <v>194.65</v>
      </c>
      <c r="E6" s="32" t="n">
        <v>1627.75</v>
      </c>
      <c r="F6" s="32" t="n">
        <v>4361.349999999999</v>
      </c>
      <c r="G6" s="33" t="n">
        <v>10598.1</v>
      </c>
      <c r="H6" s="33" t="n">
        <v>18016.7</v>
      </c>
      <c r="I6" s="33" t="n">
        <v>26124.3</v>
      </c>
      <c r="J6" s="33" t="n">
        <v>33961.5</v>
      </c>
      <c r="K6" s="33" t="n">
        <v>41433.1</v>
      </c>
      <c r="L6" s="34" t="n">
        <v>11121.4</v>
      </c>
      <c r="M6" s="34" t="n">
        <v>20018.6</v>
      </c>
      <c r="N6" s="35" t="n">
        <v>9813</v>
      </c>
      <c r="O6" s="35" t="n">
        <v>15210.2</v>
      </c>
    </row>
    <row r="7">
      <c r="B7" s="31" t="inlineStr">
        <is>
          <t>Software &amp; Managed Services (est. ~10%)</t>
        </is>
      </c>
      <c r="C7" s="32" t="n">
        <v>1.58</v>
      </c>
      <c r="D7" s="32" t="n">
        <v>22.9</v>
      </c>
      <c r="E7" s="32" t="n">
        <v>191.5</v>
      </c>
      <c r="F7" s="32" t="n">
        <v>513.1</v>
      </c>
      <c r="G7" s="33" t="n">
        <v>1246.8</v>
      </c>
      <c r="H7" s="33" t="n">
        <v>2119.6</v>
      </c>
      <c r="I7" s="33" t="n">
        <v>3073.4</v>
      </c>
      <c r="J7" s="33" t="n">
        <v>3995.5</v>
      </c>
      <c r="K7" s="33" t="n">
        <v>4874.5</v>
      </c>
    </row>
    <row r="8">
      <c r="B8" s="31" t="inlineStr">
        <is>
          <t>Storage &amp; Networking (est. ~5%)</t>
        </is>
      </c>
      <c r="C8" s="32" t="n">
        <v>0.79</v>
      </c>
      <c r="D8" s="32" t="n">
        <v>11.45</v>
      </c>
      <c r="E8" s="32" t="n">
        <v>95.75</v>
      </c>
      <c r="F8" s="32" t="n">
        <v>256.55</v>
      </c>
      <c r="G8" s="33" t="n">
        <v>623.4</v>
      </c>
      <c r="H8" s="33" t="n">
        <v>1059.8</v>
      </c>
      <c r="I8" s="33" t="n">
        <v>1536.7</v>
      </c>
      <c r="J8" s="33" t="n">
        <v>1997.7</v>
      </c>
      <c r="K8" s="33" t="n">
        <v>2437.2</v>
      </c>
    </row>
    <row r="9">
      <c r="B9" s="26" t="inlineStr">
        <is>
          <t>TOTAL REVENUE</t>
        </is>
      </c>
      <c r="C9" s="36" t="n">
        <v>15.8</v>
      </c>
      <c r="D9" s="36" t="n">
        <v>229</v>
      </c>
      <c r="E9" s="36" t="n">
        <v>1915</v>
      </c>
      <c r="F9" s="36" t="n">
        <v>5131</v>
      </c>
      <c r="G9" s="36" t="n">
        <v>12468.3</v>
      </c>
      <c r="H9" s="36" t="n">
        <v>21196.2</v>
      </c>
      <c r="I9" s="36" t="n">
        <v>30734.4</v>
      </c>
      <c r="J9" s="36" t="n">
        <v>39954.8</v>
      </c>
      <c r="K9" s="36" t="n">
        <v>48744.8</v>
      </c>
      <c r="L9" s="36" t="n">
        <v>13084</v>
      </c>
      <c r="M9" s="36" t="n">
        <v>23551.3</v>
      </c>
      <c r="N9" s="36" t="n">
        <v>11544.8</v>
      </c>
      <c r="O9" s="36" t="n">
        <v>17894.4</v>
      </c>
    </row>
    <row r="11">
      <c r="B11" s="22" t="inlineStr">
        <is>
          <t>YoY GROWTH RATES</t>
        </is>
      </c>
    </row>
    <row r="12">
      <c r="B12" s="31" t="inlineStr">
        <is>
          <t>Base Case Growth (%)</t>
        </is>
      </c>
      <c r="C12" s="37" t="inlineStr">
        <is>
          <t>N/A</t>
        </is>
      </c>
      <c r="D12" s="37" t="inlineStr">
        <is>
          <t>1,347%</t>
        </is>
      </c>
      <c r="E12" s="37" t="inlineStr">
        <is>
          <t>736%</t>
        </is>
      </c>
      <c r="F12" s="37" t="inlineStr">
        <is>
          <t>168%</t>
        </is>
      </c>
      <c r="G12" s="38" t="inlineStr">
        <is>
          <t>143%</t>
        </is>
      </c>
      <c r="H12" s="38" t="inlineStr">
        <is>
          <t>70%</t>
        </is>
      </c>
      <c r="I12" s="38" t="inlineStr">
        <is>
          <t>45%</t>
        </is>
      </c>
      <c r="J12" s="38" t="inlineStr">
        <is>
          <t>30%</t>
        </is>
      </c>
      <c r="K12" s="38" t="inlineStr">
        <is>
          <t>22%</t>
        </is>
      </c>
      <c r="L12" s="39" t="inlineStr">
        <is>
          <t>155%</t>
        </is>
      </c>
      <c r="M12" s="39" t="inlineStr">
        <is>
          <t>80%</t>
        </is>
      </c>
      <c r="N12" s="40" t="inlineStr">
        <is>
          <t>125%</t>
        </is>
      </c>
      <c r="O12" s="40" t="inlineStr">
        <is>
          <t>55%</t>
        </is>
      </c>
    </row>
    <row r="15">
      <c r="B15" s="22" t="inlineStr">
        <is>
          <t>GROSS MARGIN &amp; EBITDA MARGIN ASSUMPTIONS</t>
        </is>
      </c>
    </row>
    <row r="16">
      <c r="B16" s="31" t="inlineStr">
        <is>
          <t>Gross Margin — Base</t>
        </is>
      </c>
      <c r="C16" s="41" t="n">
        <v>0.234</v>
      </c>
      <c r="D16" s="41" t="n">
        <v>0.699</v>
      </c>
      <c r="E16" s="41" t="n">
        <v>0.743</v>
      </c>
      <c r="F16" s="41" t="n">
        <v>0.717</v>
      </c>
      <c r="G16" s="42" t="n">
        <v>0.7</v>
      </c>
      <c r="H16" s="42" t="n">
        <v>0.7</v>
      </c>
      <c r="I16" s="42" t="n">
        <v>0.7</v>
      </c>
      <c r="J16" s="42" t="n">
        <v>0.7</v>
      </c>
      <c r="K16" s="42" t="n">
        <v>0.8</v>
      </c>
      <c r="L16" s="43" t="n">
        <v>0.7</v>
      </c>
      <c r="M16" s="43" t="n">
        <v>0.7</v>
      </c>
      <c r="N16" s="44" t="n">
        <v>0.7</v>
      </c>
      <c r="O16" s="44" t="n">
        <v>0.7</v>
      </c>
    </row>
    <row r="17">
      <c r="B17" s="31" t="inlineStr">
        <is>
          <t>EBITDA Margin — Base</t>
        </is>
      </c>
      <c r="C17" s="41" t="n">
        <v>-0.625</v>
      </c>
      <c r="D17" s="41" t="n">
        <v>0.454</v>
      </c>
      <c r="E17" s="41" t="n">
        <v>0.636</v>
      </c>
      <c r="F17" s="41" t="n">
        <v>0.603</v>
      </c>
      <c r="G17" s="42" t="n">
        <v>0.6</v>
      </c>
      <c r="H17" s="42" t="n">
        <v>0.6</v>
      </c>
      <c r="I17" s="42" t="n">
        <v>0.6</v>
      </c>
      <c r="J17" s="42" t="n">
        <v>0.6</v>
      </c>
      <c r="K17" s="42" t="n">
        <v>0.7</v>
      </c>
      <c r="L17" s="43" t="n">
        <v>0.6</v>
      </c>
      <c r="M17" s="43" t="n">
        <v>0.6</v>
      </c>
      <c r="N17" s="44" t="n">
        <v>0.5</v>
      </c>
      <c r="O17" s="44" t="n">
        <v>0.5</v>
      </c>
    </row>
    <row r="20">
      <c r="B20" s="22" t="inlineStr">
        <is>
          <t>OPERATING KPIs</t>
        </is>
      </c>
    </row>
    <row r="21">
      <c r="B21" s="31" t="inlineStr">
        <is>
          <t>Active Power (MW)</t>
        </is>
      </c>
      <c r="C21" s="45" t="inlineStr">
        <is>
          <t>N/A</t>
        </is>
      </c>
      <c r="D21" s="45" t="inlineStr">
        <is>
          <t>N/A</t>
        </is>
      </c>
      <c r="E21" s="45" t="n">
        <v>590</v>
      </c>
      <c r="F21" s="45" t="n">
        <v>850</v>
      </c>
      <c r="G21" s="46" t="n">
        <v>1000</v>
      </c>
      <c r="H21" s="46" t="n">
        <v>2000</v>
      </c>
      <c r="I21" s="46" t="n">
        <v>3500</v>
      </c>
      <c r="J21" s="46" t="n">
        <v>5000</v>
      </c>
      <c r="K21" s="46" t="n">
        <v>6500</v>
      </c>
    </row>
    <row r="22">
      <c r="B22" s="31" t="inlineStr">
        <is>
          <t>Contracted Power (GW)</t>
        </is>
      </c>
      <c r="C22" s="47" t="inlineStr">
        <is>
          <t>N/A</t>
        </is>
      </c>
      <c r="D22" s="47" t="inlineStr">
        <is>
          <t>N/A</t>
        </is>
      </c>
      <c r="E22" s="47" t="inlineStr">
        <is>
          <t>N/A</t>
        </is>
      </c>
      <c r="F22" s="47" t="n">
        <v>3.1</v>
      </c>
      <c r="G22" s="48" t="n">
        <v>3.5</v>
      </c>
      <c r="H22" s="48" t="n">
        <v>5</v>
      </c>
      <c r="I22" s="48" t="n">
        <v>6.5</v>
      </c>
      <c r="J22" s="48" t="n">
        <v>8</v>
      </c>
      <c r="K22" s="48" t="n">
        <v>8</v>
      </c>
    </row>
    <row r="23">
      <c r="B23" s="31" t="inlineStr">
        <is>
          <t>Revenue Backlog ($B)</t>
        </is>
      </c>
      <c r="C23" s="32" t="inlineStr">
        <is>
          <t>N/A</t>
        </is>
      </c>
      <c r="D23" s="32" t="inlineStr">
        <is>
          <t>N/A</t>
        </is>
      </c>
      <c r="E23" s="32" t="inlineStr">
        <is>
          <t>N/A</t>
        </is>
      </c>
      <c r="F23" s="32" t="n">
        <v>66.8</v>
      </c>
      <c r="G23" s="33" t="n">
        <v>99.40000000000001</v>
      </c>
      <c r="H23" s="33" t="n">
        <v>130</v>
      </c>
      <c r="I23" s="33" t="n">
        <v>160</v>
      </c>
      <c r="J23" s="33" t="n">
        <v>190</v>
      </c>
      <c r="K23" s="33" t="n">
        <v>220</v>
      </c>
    </row>
    <row r="25">
      <c r="B25" s="20" t="inlineStr">
        <is>
          <t>Segment split is estimated — CoreWeave reports single-segment revenue. KPI data from company press releases and investor presentations.</t>
        </is>
      </c>
    </row>
  </sheetData>
  <mergeCells count="5">
    <mergeCell ref="B2:P2"/>
    <mergeCell ref="B15:O15"/>
    <mergeCell ref="B11:O11"/>
    <mergeCell ref="B5:O5"/>
    <mergeCell ref="B20:O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2:K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21" t="inlineStr">
        <is>
          <t>INCOME STATEMENT — HISTORICAL &amp; BASE CASE PROJECTIONS ($M)</t>
        </is>
      </c>
    </row>
    <row r="4">
      <c r="B4" s="3" t="inlineStr">
        <is>
          <t>P&amp;L ($M)</t>
        </is>
      </c>
      <c r="C4" s="3" t="inlineStr">
        <is>
          <t>FY2022A</t>
        </is>
      </c>
      <c r="D4" s="3" t="inlineStr">
        <is>
          <t>FY2023A</t>
        </is>
      </c>
      <c r="E4" s="3" t="inlineStr">
        <is>
          <t>FY2024A</t>
        </is>
      </c>
      <c r="F4" s="3" t="inlineStr">
        <is>
          <t>FY2025A</t>
        </is>
      </c>
      <c r="G4" s="3" t="inlineStr">
        <is>
          <t>Q1'26A</t>
        </is>
      </c>
      <c r="H4" s="3" t="inlineStr">
        <is>
          <t>FY2026E</t>
        </is>
      </c>
      <c r="I4" s="3" t="inlineStr">
        <is>
          <t>FY2027E</t>
        </is>
      </c>
      <c r="J4" s="3" t="inlineStr">
        <is>
          <t>FY2028E</t>
        </is>
      </c>
      <c r="K4" s="3" t="inlineStr">
        <is>
          <t>FY2029E</t>
        </is>
      </c>
    </row>
    <row r="5">
      <c r="B5" s="26" t="inlineStr">
        <is>
          <t>Revenue</t>
        </is>
      </c>
      <c r="C5" s="49" t="n">
        <v>15.8</v>
      </c>
      <c r="D5" s="49" t="n">
        <v>229</v>
      </c>
      <c r="E5" s="49" t="n">
        <v>1915</v>
      </c>
      <c r="F5" s="49" t="n">
        <v>5131</v>
      </c>
      <c r="G5" s="50" t="n">
        <v>2078</v>
      </c>
      <c r="H5" s="50" t="n">
        <v>12468</v>
      </c>
      <c r="I5" s="50" t="n">
        <v>21196</v>
      </c>
      <c r="J5" s="50" t="n">
        <v>30734</v>
      </c>
      <c r="K5" s="50" t="n">
        <v>39955</v>
      </c>
    </row>
    <row r="6">
      <c r="B6" s="51" t="inlineStr">
        <is>
          <t>YoY Growth</t>
        </is>
      </c>
      <c r="C6" s="28" t="inlineStr">
        <is>
          <t>N/A</t>
        </is>
      </c>
      <c r="D6" s="28" t="inlineStr">
        <is>
          <t>1,347%</t>
        </is>
      </c>
      <c r="E6" s="28" t="inlineStr">
        <is>
          <t>736%</t>
        </is>
      </c>
      <c r="F6" s="28" t="inlineStr">
        <is>
          <t>168%</t>
        </is>
      </c>
      <c r="G6" s="29" t="inlineStr">
        <is>
          <t>112%</t>
        </is>
      </c>
      <c r="H6" s="29" t="inlineStr">
        <is>
          <t>142%</t>
        </is>
      </c>
      <c r="I6" s="29" t="inlineStr">
        <is>
          <t>70%</t>
        </is>
      </c>
      <c r="J6" s="29" t="inlineStr">
        <is>
          <t>45%</t>
        </is>
      </c>
      <c r="K6" s="29" t="inlineStr">
        <is>
          <t>32%</t>
        </is>
      </c>
    </row>
    <row r="7">
      <c r="B7" s="51" t="inlineStr">
        <is>
          <t>Cost of Revenue (COGS)</t>
        </is>
      </c>
      <c r="C7" s="23" t="n">
        <v>12.1028</v>
      </c>
      <c r="D7" s="23" t="n">
        <v>68.92900000000002</v>
      </c>
      <c r="E7" s="23" t="n">
        <v>492.155</v>
      </c>
      <c r="F7" s="23" t="n">
        <v>1452.073</v>
      </c>
      <c r="G7" s="19" t="n">
        <v>716</v>
      </c>
      <c r="H7" s="19" t="n">
        <v>3616</v>
      </c>
      <c r="I7" s="19" t="n">
        <v>5935</v>
      </c>
      <c r="J7" s="19" t="n">
        <v>8298</v>
      </c>
      <c r="K7" s="19" t="n">
        <v>10388</v>
      </c>
    </row>
    <row r="8">
      <c r="B8" s="26" t="inlineStr">
        <is>
          <t>GROSS PROFIT</t>
        </is>
      </c>
      <c r="C8" s="49" t="n">
        <v>3.6972</v>
      </c>
      <c r="D8" s="49" t="n">
        <v>160.071</v>
      </c>
      <c r="E8" s="49" t="n">
        <v>1422.845</v>
      </c>
      <c r="F8" s="49" t="n">
        <v>3678.927</v>
      </c>
      <c r="G8" s="50" t="n">
        <v>1362</v>
      </c>
      <c r="H8" s="50" t="n">
        <v>8853</v>
      </c>
      <c r="I8" s="50" t="n">
        <v>15261</v>
      </c>
      <c r="J8" s="50" t="n">
        <v>22436</v>
      </c>
      <c r="K8" s="50" t="n">
        <v>29567</v>
      </c>
    </row>
    <row r="9">
      <c r="B9" s="51" t="inlineStr">
        <is>
          <t>Gross Margin (%)</t>
        </is>
      </c>
      <c r="C9" s="52" t="n">
        <v>0.234</v>
      </c>
      <c r="D9" s="52" t="n">
        <v>0.699</v>
      </c>
      <c r="E9" s="52" t="n">
        <v>0.743</v>
      </c>
      <c r="F9" s="52" t="n">
        <v>0.717</v>
      </c>
      <c r="G9" s="53" t="n">
        <v>0.6554379210779596</v>
      </c>
      <c r="H9" s="53" t="n">
        <v>0.71</v>
      </c>
      <c r="I9" s="53" t="n">
        <v>0.72</v>
      </c>
      <c r="J9" s="53" t="n">
        <v>0.73</v>
      </c>
      <c r="K9" s="53" t="n">
        <v>0.74</v>
      </c>
    </row>
    <row r="11">
      <c r="B11" s="51" t="inlineStr">
        <is>
          <t>Technology &amp; Infrastructure</t>
        </is>
      </c>
      <c r="C11" s="23" t="n"/>
      <c r="D11" s="23" t="n"/>
      <c r="E11" s="23" t="n"/>
      <c r="F11" s="23" t="n"/>
      <c r="G11" s="19" t="n">
        <v>1273</v>
      </c>
      <c r="H11" s="19" t="n">
        <v>4738</v>
      </c>
      <c r="I11" s="19" t="n">
        <v>8055</v>
      </c>
      <c r="J11" s="19" t="n">
        <v>11679</v>
      </c>
      <c r="K11" s="19" t="n">
        <v>15183</v>
      </c>
    </row>
    <row r="12">
      <c r="B12" s="51" t="inlineStr">
        <is>
          <t>Sales &amp; Marketing</t>
        </is>
      </c>
      <c r="C12" s="23" t="n"/>
      <c r="D12" s="23" t="n"/>
      <c r="E12" s="23" t="n"/>
      <c r="F12" s="23" t="n"/>
      <c r="G12" s="19" t="n">
        <v>69</v>
      </c>
      <c r="H12" s="19" t="n">
        <v>436</v>
      </c>
      <c r="I12" s="19" t="n">
        <v>742</v>
      </c>
      <c r="J12" s="19" t="n">
        <v>1076</v>
      </c>
      <c r="K12" s="19" t="n">
        <v>1398</v>
      </c>
    </row>
    <row r="13">
      <c r="B13" s="51" t="inlineStr">
        <is>
          <t>General &amp; Administrative</t>
        </is>
      </c>
      <c r="C13" s="23" t="n"/>
      <c r="D13" s="23" t="n"/>
      <c r="E13" s="23" t="n"/>
      <c r="F13" s="23" t="n"/>
      <c r="G13" s="19" t="n">
        <v>164</v>
      </c>
      <c r="H13" s="19" t="n">
        <v>499</v>
      </c>
      <c r="I13" s="19" t="n">
        <v>848</v>
      </c>
      <c r="J13" s="19" t="n">
        <v>1229</v>
      </c>
      <c r="K13" s="19" t="n">
        <v>1598</v>
      </c>
    </row>
    <row r="14">
      <c r="B14" s="26" t="inlineStr">
        <is>
          <t>TOTAL OPERATING EXPENSES</t>
        </is>
      </c>
      <c r="C14" s="49" t="n"/>
      <c r="D14" s="49" t="n"/>
      <c r="E14" s="49" t="n"/>
      <c r="F14" s="49" t="n"/>
      <c r="G14" s="50" t="n">
        <v>2222</v>
      </c>
      <c r="H14" s="50" t="n">
        <v>5673</v>
      </c>
      <c r="I14" s="50" t="n">
        <v>9644</v>
      </c>
      <c r="J14" s="50" t="n">
        <v>13984</v>
      </c>
      <c r="K14" s="50" t="n">
        <v>18179</v>
      </c>
    </row>
    <row r="16">
      <c r="B16" s="26" t="inlineStr">
        <is>
          <t>EBIT (Operating Income)</t>
        </is>
      </c>
      <c r="C16" s="49" t="n">
        <v>-21.4</v>
      </c>
      <c r="D16" s="49" t="n">
        <v>0.7</v>
      </c>
      <c r="E16" s="49" t="n">
        <v>356</v>
      </c>
      <c r="F16" s="49" t="n">
        <v>666</v>
      </c>
      <c r="G16" s="50" t="n">
        <v>-144</v>
      </c>
      <c r="H16" s="50" t="n">
        <v>3865</v>
      </c>
      <c r="I16" s="50" t="n">
        <v>6995</v>
      </c>
      <c r="J16" s="50" t="n">
        <v>11064</v>
      </c>
      <c r="K16" s="50" t="n">
        <v>15582</v>
      </c>
    </row>
    <row r="17">
      <c r="B17" s="51" t="inlineStr">
        <is>
          <t>EBIT Margin (%)</t>
        </is>
      </c>
      <c r="C17" s="52" t="n">
        <v>-1.354430379746835</v>
      </c>
      <c r="D17" s="52" t="n">
        <v>0.003056768558951965</v>
      </c>
      <c r="E17" s="52" t="n">
        <v>0.1859007832898172</v>
      </c>
      <c r="F17" s="52" t="n">
        <v>0.129799259403625</v>
      </c>
      <c r="G17" s="53" t="n">
        <v>-0.06929740134744947</v>
      </c>
      <c r="H17" s="53" t="n">
        <v>0.3099999999999999</v>
      </c>
      <c r="I17" s="53" t="n">
        <v>0.33</v>
      </c>
      <c r="J17" s="53" t="n">
        <v>0.36</v>
      </c>
      <c r="K17" s="53" t="n">
        <v>0.39</v>
      </c>
    </row>
    <row r="18">
      <c r="B18" s="51" t="inlineStr">
        <is>
          <t>Depreciation &amp; Amortization</t>
        </is>
      </c>
      <c r="C18" s="23" t="n">
        <v>8.5</v>
      </c>
      <c r="D18" s="23" t="n">
        <v>40</v>
      </c>
      <c r="E18" s="23" t="n">
        <v>625</v>
      </c>
      <c r="F18" s="23" t="n">
        <v>2200</v>
      </c>
      <c r="G18" s="19" t="n">
        <v>1147</v>
      </c>
      <c r="H18" s="19" t="n">
        <v>3242</v>
      </c>
      <c r="I18" s="19" t="n">
        <v>5511</v>
      </c>
      <c r="J18" s="19" t="n">
        <v>7684</v>
      </c>
      <c r="K18" s="19" t="n">
        <v>9589</v>
      </c>
    </row>
    <row r="19">
      <c r="B19" s="54" t="inlineStr">
        <is>
          <t>Adjusted EBITDA</t>
        </is>
      </c>
      <c r="C19" s="23" t="n">
        <v>-9.9</v>
      </c>
      <c r="D19" s="23" t="n">
        <v>103.9</v>
      </c>
      <c r="E19" s="23" t="n">
        <v>1218</v>
      </c>
      <c r="F19" s="23" t="n">
        <v>3093</v>
      </c>
      <c r="G19" s="19" t="n">
        <v>1157</v>
      </c>
      <c r="H19" s="19" t="n">
        <v>7107</v>
      </c>
      <c r="I19" s="19" t="n">
        <v>12506</v>
      </c>
      <c r="J19" s="19" t="n">
        <v>18748</v>
      </c>
      <c r="K19" s="19" t="n">
        <v>25172</v>
      </c>
    </row>
    <row r="20">
      <c r="B20" s="51" t="inlineStr">
        <is>
          <t>Adjusted EBITDA Margin (%)</t>
        </is>
      </c>
      <c r="C20" s="52" t="n">
        <v>-0.625</v>
      </c>
      <c r="D20" s="52" t="n">
        <v>0.454</v>
      </c>
      <c r="E20" s="52" t="n">
        <v>0.636</v>
      </c>
      <c r="F20" s="52" t="n">
        <v>0.603</v>
      </c>
      <c r="G20" s="53" t="n">
        <v>0.5570000000000001</v>
      </c>
      <c r="H20" s="53" t="n">
        <v>0.57</v>
      </c>
      <c r="I20" s="53" t="n">
        <v>0.59</v>
      </c>
      <c r="J20" s="53" t="n">
        <v>0.61</v>
      </c>
      <c r="K20" s="53" t="n">
        <v>0.63</v>
      </c>
    </row>
    <row r="22">
      <c r="B22" s="51" t="inlineStr">
        <is>
          <t>Interest Expense, net</t>
        </is>
      </c>
      <c r="C22" s="23" t="n">
        <v>-2</v>
      </c>
      <c r="D22" s="23" t="n">
        <v>-45</v>
      </c>
      <c r="E22" s="23" t="n">
        <v>-225</v>
      </c>
      <c r="F22" s="23" t="n">
        <v>-1168</v>
      </c>
      <c r="G22" s="19" t="n">
        <v>-536</v>
      </c>
      <c r="H22" s="19" t="n">
        <v>-2100</v>
      </c>
      <c r="I22" s="19" t="n">
        <v>-2400</v>
      </c>
      <c r="J22" s="19" t="n">
        <v>-2500</v>
      </c>
      <c r="K22" s="19" t="n">
        <v>-2300</v>
      </c>
    </row>
    <row r="23">
      <c r="B23" s="51" t="inlineStr">
        <is>
          <t>Other Income / (Expense)</t>
        </is>
      </c>
      <c r="C23" s="23" t="n"/>
      <c r="D23" s="23" t="n"/>
      <c r="E23" s="23" t="n"/>
      <c r="F23" s="23" t="n"/>
      <c r="G23" s="19" t="n">
        <v>24</v>
      </c>
      <c r="H23" s="19" t="n"/>
      <c r="I23" s="19" t="n"/>
      <c r="J23" s="19" t="n"/>
      <c r="K23" s="19" t="n"/>
    </row>
    <row r="24">
      <c r="B24" s="51" t="inlineStr">
        <is>
          <t>Loss Before Taxes</t>
        </is>
      </c>
      <c r="C24" s="23" t="n">
        <v>-23.4</v>
      </c>
      <c r="D24" s="23" t="n">
        <v>-44.3</v>
      </c>
      <c r="E24" s="23" t="n">
        <v>131</v>
      </c>
      <c r="F24" s="23" t="n">
        <v>-502</v>
      </c>
      <c r="G24" s="19" t="n">
        <v>-680</v>
      </c>
      <c r="H24" s="19" t="n">
        <v>1765</v>
      </c>
      <c r="I24" s="19" t="n">
        <v>4595</v>
      </c>
      <c r="J24" s="19" t="n">
        <v>8564</v>
      </c>
      <c r="K24" s="19" t="n">
        <v>13282</v>
      </c>
    </row>
    <row r="25">
      <c r="B25" s="51" t="inlineStr">
        <is>
          <t>Income Tax Provision</t>
        </is>
      </c>
      <c r="C25" s="23" t="n"/>
      <c r="D25" s="23" t="n"/>
      <c r="E25" s="23" t="n"/>
      <c r="F25" s="23" t="n"/>
      <c r="G25" s="19" t="n">
        <v>84</v>
      </c>
      <c r="H25" s="19" t="n"/>
      <c r="I25" s="19" t="n"/>
      <c r="J25" s="19" t="n"/>
      <c r="K25" s="19" t="n"/>
    </row>
    <row r="26">
      <c r="B26" s="26" t="inlineStr">
        <is>
          <t>NET INCOME (LOSS) — GAAP</t>
        </is>
      </c>
      <c r="C26" s="49" t="n">
        <v>-27</v>
      </c>
      <c r="D26" s="49" t="n">
        <v>-45</v>
      </c>
      <c r="E26" s="49" t="n">
        <v>-65</v>
      </c>
      <c r="F26" s="49" t="n">
        <v>-606</v>
      </c>
      <c r="G26" s="50" t="n">
        <v>-740</v>
      </c>
      <c r="H26" s="50" t="n">
        <v>1324</v>
      </c>
      <c r="I26" s="50" t="n">
        <v>3446</v>
      </c>
      <c r="J26" s="50" t="n">
        <v>6423</v>
      </c>
      <c r="K26" s="50" t="n">
        <v>9962</v>
      </c>
    </row>
    <row r="27">
      <c r="B27" s="51" t="inlineStr">
        <is>
          <t>Net Margin (%)</t>
        </is>
      </c>
      <c r="C27" s="52" t="n">
        <v>-1.708860759493671</v>
      </c>
      <c r="D27" s="52" t="n">
        <v>-0.1965065502183406</v>
      </c>
      <c r="E27" s="52" t="n">
        <v>-0.0339425587467363</v>
      </c>
      <c r="F27" s="52" t="n">
        <v>-0.1181056324303255</v>
      </c>
      <c r="G27" s="53" t="n">
        <v>-0.356111645813282</v>
      </c>
      <c r="H27" s="53" t="n">
        <v>0.1061799555353443</v>
      </c>
      <c r="I27" s="53" t="n">
        <v>0.1625789617044331</v>
      </c>
      <c r="J27" s="53" t="n">
        <v>0.2089935069715755</v>
      </c>
      <c r="K27" s="53" t="n">
        <v>0.2493261741644996</v>
      </c>
    </row>
    <row r="29">
      <c r="B29" s="51" t="inlineStr">
        <is>
          <t>EPS — Diluted ($)</t>
        </is>
      </c>
      <c r="C29" s="55" t="n">
        <v>-0.17</v>
      </c>
      <c r="D29" s="55" t="n">
        <v>-3.09</v>
      </c>
      <c r="E29" s="55" t="n">
        <v>-4.3</v>
      </c>
      <c r="F29" s="55" t="n">
        <v>-2.71</v>
      </c>
      <c r="G29" s="56" t="n">
        <v>-1.4</v>
      </c>
      <c r="H29" s="56" t="n">
        <v>2.45</v>
      </c>
      <c r="I29" s="56" t="n">
        <v>6.27</v>
      </c>
      <c r="J29" s="56" t="n">
        <v>11.47</v>
      </c>
      <c r="K29" s="56" t="n">
        <v>17.48</v>
      </c>
    </row>
    <row r="30">
      <c r="B30" s="51" t="inlineStr">
        <is>
          <t>Shares Outstanding — Diluted (M)</t>
        </is>
      </c>
      <c r="C30" s="23" t="n">
        <v>0.18</v>
      </c>
      <c r="D30" s="23" t="n">
        <v>203.5</v>
      </c>
      <c r="E30" s="23" t="n">
        <v>233</v>
      </c>
      <c r="F30" s="23" t="n">
        <v>502</v>
      </c>
      <c r="G30" s="19" t="n">
        <v>527</v>
      </c>
      <c r="H30" s="19" t="n">
        <v>540</v>
      </c>
      <c r="I30" s="19" t="n">
        <v>550</v>
      </c>
      <c r="J30" s="19" t="n">
        <v>560</v>
      </c>
      <c r="K30" s="19" t="n">
        <v>570</v>
      </c>
    </row>
    <row r="32">
      <c r="B32" s="20" t="inlineStr">
        <is>
          <t>Historical data from CoreWeave SEC filings &amp; press releases. FY2026E-FY2029E are analyst base-case estimates. Adj. EBITDA adds back D&amp;A, SBC, and non-recurring items.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2:G41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1" t="inlineStr">
        <is>
          <t>BALANCE SHEET — HISTORICAL ($M)</t>
        </is>
      </c>
    </row>
    <row r="4">
      <c r="B4" s="3" t="inlineStr">
        <is>
          <t>($M)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FY2025A (Dec)</t>
        </is>
      </c>
      <c r="F4" s="3" t="inlineStr">
        <is>
          <t>Q1'26A (Mar)</t>
        </is>
      </c>
      <c r="G4" s="3" t="inlineStr">
        <is>
          <t>Notes</t>
        </is>
      </c>
    </row>
    <row r="5">
      <c r="B5" s="26" t="inlineStr">
        <is>
          <t>ASSETS</t>
        </is>
      </c>
      <c r="C5" s="57" t="n"/>
      <c r="D5" s="57" t="n"/>
      <c r="E5" s="57" t="n"/>
      <c r="F5" s="57" t="n"/>
      <c r="G5" s="57" t="n"/>
    </row>
    <row r="6">
      <c r="B6" s="58" t="inlineStr">
        <is>
          <t>Current Assets</t>
        </is>
      </c>
    </row>
    <row r="7">
      <c r="B7" s="59" t="inlineStr">
        <is>
          <t>Cash &amp; Cash Equivalents</t>
        </is>
      </c>
      <c r="E7" s="19" t="n">
        <v>3127</v>
      </c>
      <c r="F7" s="19" t="n">
        <v>2244</v>
      </c>
    </row>
    <row r="8">
      <c r="B8" s="59" t="inlineStr">
        <is>
          <t>Restricted Cash, Current</t>
        </is>
      </c>
      <c r="E8" s="19" t="n">
        <v>819</v>
      </c>
      <c r="F8" s="19" t="n">
        <v>777</v>
      </c>
    </row>
    <row r="9">
      <c r="B9" s="59" t="inlineStr">
        <is>
          <t>Marketable Securities</t>
        </is>
      </c>
      <c r="E9" s="19" t="n">
        <v>34</v>
      </c>
      <c r="F9" s="19" t="n">
        <v>22</v>
      </c>
    </row>
    <row r="10">
      <c r="B10" s="59" t="inlineStr">
        <is>
          <t>Accounts Receivable, net</t>
        </is>
      </c>
      <c r="E10" s="19" t="n">
        <v>3169</v>
      </c>
      <c r="F10" s="19" t="n">
        <v>2120</v>
      </c>
    </row>
    <row r="11">
      <c r="B11" s="59" t="inlineStr">
        <is>
          <t>Prepaid &amp; Other Current Assets</t>
        </is>
      </c>
      <c r="E11" s="19" t="n">
        <v>339</v>
      </c>
      <c r="F11" s="19" t="n">
        <v>446</v>
      </c>
    </row>
    <row r="12">
      <c r="B12" s="26" t="inlineStr">
        <is>
          <t>Total Current Assets</t>
        </is>
      </c>
      <c r="C12" s="57" t="n"/>
      <c r="D12" s="57" t="n"/>
      <c r="E12" s="50" t="n">
        <v>7488</v>
      </c>
      <c r="F12" s="50" t="n">
        <v>5609</v>
      </c>
      <c r="G12" s="57" t="n"/>
    </row>
    <row r="13">
      <c r="B13" s="59" t="inlineStr">
        <is>
          <t>Property &amp; Equipment, net</t>
        </is>
      </c>
      <c r="E13" s="19" t="n">
        <v>30557</v>
      </c>
      <c r="F13" s="19" t="n">
        <v>36424</v>
      </c>
    </row>
    <row r="14">
      <c r="B14" s="59" t="inlineStr">
        <is>
          <t>Operating Lease ROU Assets</t>
        </is>
      </c>
      <c r="E14" s="19" t="n">
        <v>8231</v>
      </c>
      <c r="F14" s="19" t="n">
        <v>10182</v>
      </c>
    </row>
    <row r="15">
      <c r="B15" s="59" t="inlineStr">
        <is>
          <t>Intangible Assets, net</t>
        </is>
      </c>
      <c r="E15" s="19" t="n">
        <v>235</v>
      </c>
      <c r="F15" s="19" t="n">
        <v>224</v>
      </c>
    </row>
    <row r="16">
      <c r="B16" s="59" t="inlineStr">
        <is>
          <t>Goodwill</t>
        </is>
      </c>
      <c r="E16" s="19" t="n">
        <v>1101</v>
      </c>
      <c r="F16" s="19" t="n">
        <v>1101</v>
      </c>
    </row>
    <row r="17">
      <c r="B17" s="59" t="inlineStr">
        <is>
          <t>Other Non-Current Assets</t>
        </is>
      </c>
      <c r="E17" s="19" t="n">
        <v>1690</v>
      </c>
      <c r="F17" s="19" t="n">
        <v>2033</v>
      </c>
    </row>
    <row r="18">
      <c r="B18" s="26" t="inlineStr">
        <is>
          <t>TOTAL ASSETS</t>
        </is>
      </c>
      <c r="C18" s="57" t="n"/>
      <c r="D18" s="57" t="n"/>
      <c r="E18" s="50" t="n">
        <v>49302</v>
      </c>
      <c r="F18" s="50" t="n">
        <v>55573</v>
      </c>
      <c r="G18" s="57" t="n"/>
    </row>
    <row r="19">
      <c r="B19" s="26" t="inlineStr">
        <is>
          <t>LIABILITIES</t>
        </is>
      </c>
      <c r="C19" s="57" t="n"/>
      <c r="D19" s="57" t="n"/>
      <c r="E19" s="57" t="n"/>
      <c r="F19" s="57" t="n"/>
      <c r="G19" s="57" t="n"/>
    </row>
    <row r="20">
      <c r="B20" s="58" t="inlineStr">
        <is>
          <t>Current Liabilities</t>
        </is>
      </c>
    </row>
    <row r="21">
      <c r="B21" s="59" t="inlineStr">
        <is>
          <t>Accounts Payable</t>
        </is>
      </c>
      <c r="E21" s="19" t="n">
        <v>1623</v>
      </c>
      <c r="F21" s="19" t="n">
        <v>3371</v>
      </c>
    </row>
    <row r="22">
      <c r="B22" s="59" t="inlineStr">
        <is>
          <t>Accrued Liabilities</t>
        </is>
      </c>
      <c r="E22" s="19" t="n">
        <v>5773</v>
      </c>
      <c r="F22" s="19" t="n">
        <v>2726</v>
      </c>
    </row>
    <row r="23">
      <c r="B23" s="59" t="inlineStr">
        <is>
          <t>Debt, Current</t>
        </is>
      </c>
      <c r="E23" s="19" t="n">
        <v>6708</v>
      </c>
      <c r="F23" s="19" t="n">
        <v>7547</v>
      </c>
    </row>
    <row r="24">
      <c r="B24" s="59" t="inlineStr">
        <is>
          <t>Deferred Revenue, Current</t>
        </is>
      </c>
      <c r="E24" s="19" t="n">
        <v>1709</v>
      </c>
      <c r="F24" s="19" t="n">
        <v>2130</v>
      </c>
    </row>
    <row r="25">
      <c r="B25" s="59" t="inlineStr">
        <is>
          <t>Operating Lease Liabilities, Current</t>
        </is>
      </c>
      <c r="E25" s="19" t="n">
        <v>427</v>
      </c>
      <c r="F25" s="19" t="n">
        <v>487</v>
      </c>
    </row>
    <row r="26">
      <c r="B26" s="59" t="inlineStr">
        <is>
          <t>Other Current Liabilities</t>
        </is>
      </c>
      <c r="E26" s="19" t="n">
        <v>200</v>
      </c>
      <c r="F26" s="19" t="n">
        <v>1557</v>
      </c>
    </row>
    <row r="27">
      <c r="B27" s="26" t="inlineStr">
        <is>
          <t>Total Current Liabilities</t>
        </is>
      </c>
      <c r="C27" s="57" t="n"/>
      <c r="D27" s="57" t="n"/>
      <c r="E27" s="50" t="n">
        <v>16440</v>
      </c>
      <c r="F27" s="50" t="n">
        <v>17818</v>
      </c>
      <c r="G27" s="57" t="n"/>
    </row>
    <row r="28">
      <c r="B28" s="59" t="inlineStr">
        <is>
          <t>Debt, Non-Current</t>
        </is>
      </c>
      <c r="E28" s="19" t="n">
        <v>14665</v>
      </c>
      <c r="F28" s="19" t="n">
        <v>17312</v>
      </c>
    </row>
    <row r="29">
      <c r="B29" s="59" t="inlineStr">
        <is>
          <t>Deferred Revenue, Non-Current</t>
        </is>
      </c>
      <c r="E29" s="19" t="n">
        <v>6476</v>
      </c>
      <c r="F29" s="19" t="n">
        <v>5393</v>
      </c>
    </row>
    <row r="30">
      <c r="B30" s="59" t="inlineStr">
        <is>
          <t>Operating Lease Liabilities, NC</t>
        </is>
      </c>
      <c r="E30" s="19" t="n">
        <v>7768</v>
      </c>
      <c r="F30" s="19" t="n">
        <v>9563</v>
      </c>
    </row>
    <row r="31">
      <c r="B31" s="59" t="inlineStr">
        <is>
          <t>Other Non-Current Liabilities</t>
        </is>
      </c>
      <c r="E31" s="19" t="n">
        <v>618</v>
      </c>
      <c r="F31" s="19" t="n">
        <v>728</v>
      </c>
    </row>
    <row r="32">
      <c r="B32" s="26" t="inlineStr">
        <is>
          <t>TOTAL LIABILITIES</t>
        </is>
      </c>
      <c r="C32" s="57" t="n"/>
      <c r="D32" s="57" t="n"/>
      <c r="E32" s="50" t="n">
        <v>45967</v>
      </c>
      <c r="F32" s="50" t="n">
        <v>50814</v>
      </c>
      <c r="G32" s="57" t="n"/>
    </row>
    <row r="33">
      <c r="B33" s="26" t="inlineStr">
        <is>
          <t>STOCKHOLDERS EQUITY</t>
        </is>
      </c>
      <c r="C33" s="57" t="n"/>
      <c r="D33" s="57" t="n"/>
      <c r="E33" s="57" t="n"/>
      <c r="F33" s="57" t="n"/>
      <c r="G33" s="57" t="n"/>
    </row>
    <row r="34">
      <c r="B34" s="59" t="inlineStr">
        <is>
          <t>Additional Paid-In Capital</t>
        </is>
      </c>
      <c r="E34" s="19" t="n">
        <v>6012</v>
      </c>
      <c r="F34" s="19" t="n">
        <v>8171</v>
      </c>
    </row>
    <row r="35">
      <c r="B35" s="59" t="inlineStr">
        <is>
          <t>Accumulated Deficit</t>
        </is>
      </c>
      <c r="E35" s="19" t="n">
        <v>-2643</v>
      </c>
      <c r="F35" s="19" t="n">
        <v>-3383</v>
      </c>
    </row>
    <row r="36">
      <c r="B36" s="59" t="inlineStr">
        <is>
          <t>Other Comprehensive Income</t>
        </is>
      </c>
      <c r="E36" s="19" t="n">
        <v>0</v>
      </c>
      <c r="F36" s="19" t="n">
        <v>5</v>
      </c>
    </row>
    <row r="37">
      <c r="B37" s="59" t="inlineStr">
        <is>
          <t>Treasury Stock</t>
        </is>
      </c>
      <c r="E37" s="19" t="n">
        <v>-34</v>
      </c>
      <c r="F37" s="19" t="n">
        <v>-34</v>
      </c>
    </row>
    <row r="38">
      <c r="B38" s="26" t="inlineStr">
        <is>
          <t>TOTAL EQUITY</t>
        </is>
      </c>
      <c r="C38" s="57" t="n"/>
      <c r="D38" s="57" t="n"/>
      <c r="E38" s="50" t="n">
        <v>3335</v>
      </c>
      <c r="F38" s="50" t="n">
        <v>4759</v>
      </c>
      <c r="G38" s="57" t="n"/>
    </row>
    <row r="39">
      <c r="B39" s="26" t="inlineStr">
        <is>
          <t>TOTAL LIABILITIES + EQUITY</t>
        </is>
      </c>
      <c r="C39" s="57" t="n"/>
      <c r="D39" s="57" t="n"/>
      <c r="E39" s="50" t="n">
        <v>49302</v>
      </c>
      <c r="F39" s="50" t="n">
        <v>55573</v>
      </c>
      <c r="G39" s="57" t="n"/>
    </row>
    <row r="41">
      <c r="B41" s="20" t="inlineStr">
        <is>
          <t>FY2025 Dec-31 and Q1'26 Mar-31 data from CoreWeave press releases. FY2022-2024 detailed breakdown not available publicly; key figures from S-1 and 10-K filings.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2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21" t="inlineStr">
        <is>
          <t>CASH FLOW STATEMENT — HISTORICAL &amp; BASE CASE PROJECTIONS ($M)</t>
        </is>
      </c>
    </row>
    <row r="4">
      <c r="B4" s="3" t="inlineStr">
        <is>
          <t>($M)</t>
        </is>
      </c>
      <c r="C4" s="3" t="inlineStr">
        <is>
          <t>FY2022A</t>
        </is>
      </c>
      <c r="D4" s="3" t="inlineStr">
        <is>
          <t>FY2023A</t>
        </is>
      </c>
      <c r="E4" s="3" t="inlineStr">
        <is>
          <t>FY2024A</t>
        </is>
      </c>
      <c r="F4" s="3" t="inlineStr">
        <is>
          <t>FY2025A</t>
        </is>
      </c>
      <c r="G4" s="3" t="inlineStr">
        <is>
          <t>Q1'26A</t>
        </is>
      </c>
      <c r="H4" s="3" t="inlineStr">
        <is>
          <t>FY2026E</t>
        </is>
      </c>
      <c r="I4" s="3" t="inlineStr">
        <is>
          <t>FY2027E</t>
        </is>
      </c>
      <c r="J4" s="3" t="inlineStr">
        <is>
          <t>FY2028E</t>
        </is>
      </c>
      <c r="K4" s="3" t="inlineStr">
        <is>
          <t>FY2029E</t>
        </is>
      </c>
    </row>
    <row r="5">
      <c r="B5" s="60" t="inlineStr">
        <is>
          <t>OPERATING ACTIVITIES</t>
        </is>
      </c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</row>
    <row r="6">
      <c r="B6" s="51" t="inlineStr">
        <is>
          <t>Net Income (Loss)</t>
        </is>
      </c>
      <c r="C6" s="62" t="n">
        <v>-27</v>
      </c>
      <c r="D6" s="62" t="n">
        <v>-45</v>
      </c>
      <c r="E6" s="62" t="n">
        <v>-65</v>
      </c>
      <c r="F6" s="62" t="n">
        <v>-606</v>
      </c>
      <c r="G6" s="62" t="n">
        <v>-740</v>
      </c>
      <c r="H6" s="63" t="n">
        <v>1324</v>
      </c>
      <c r="I6" s="63" t="n">
        <v>3446</v>
      </c>
      <c r="J6" s="63" t="n">
        <v>6423</v>
      </c>
      <c r="K6" s="63" t="n">
        <v>9962</v>
      </c>
    </row>
    <row r="7">
      <c r="B7" s="51" t="inlineStr">
        <is>
          <t>Depreciation &amp; Amortization</t>
        </is>
      </c>
      <c r="C7" s="62" t="n">
        <v>9</v>
      </c>
      <c r="D7" s="62" t="n">
        <v>40</v>
      </c>
      <c r="E7" s="62" t="n">
        <v>625</v>
      </c>
      <c r="F7" s="62" t="n">
        <v>2200</v>
      </c>
      <c r="G7" s="62" t="n">
        <v>1147</v>
      </c>
      <c r="H7" s="63" t="n">
        <v>3242</v>
      </c>
      <c r="I7" s="63" t="n">
        <v>5511</v>
      </c>
      <c r="J7" s="63" t="n">
        <v>7684</v>
      </c>
      <c r="K7" s="63" t="n">
        <v>9589</v>
      </c>
    </row>
    <row r="8">
      <c r="B8" s="51" t="inlineStr">
        <is>
          <t>Stock-Based Compensation</t>
        </is>
      </c>
      <c r="C8" s="62" t="n">
        <v>5</v>
      </c>
      <c r="D8" s="62" t="n">
        <v>15</v>
      </c>
      <c r="E8" s="62" t="n">
        <v>85</v>
      </c>
      <c r="F8" s="62" t="n">
        <v>350</v>
      </c>
      <c r="G8" s="62" t="n">
        <v>153</v>
      </c>
      <c r="H8" s="63" t="n">
        <v>374</v>
      </c>
      <c r="I8" s="63" t="n">
        <v>636</v>
      </c>
      <c r="J8" s="63" t="n">
        <v>922</v>
      </c>
      <c r="K8" s="63" t="n">
        <v>1199</v>
      </c>
    </row>
    <row r="9">
      <c r="B9" s="51" t="inlineStr">
        <is>
          <t>Changes in Working Capital</t>
        </is>
      </c>
      <c r="C9" s="62" t="n">
        <v>-10</v>
      </c>
      <c r="D9" s="62" t="n">
        <v>-300</v>
      </c>
      <c r="E9" s="62" t="n">
        <v>-800</v>
      </c>
      <c r="F9" s="62" t="n">
        <v>-1500</v>
      </c>
      <c r="G9" s="62" t="n">
        <v>2517</v>
      </c>
      <c r="H9" s="63" t="n">
        <v>-249</v>
      </c>
      <c r="I9" s="63" t="n">
        <v>-212</v>
      </c>
      <c r="J9" s="63" t="n">
        <v>-154</v>
      </c>
      <c r="K9" s="63" t="n">
        <v>-200</v>
      </c>
    </row>
    <row r="10">
      <c r="B10" s="26" t="inlineStr">
        <is>
          <t>Net Cash from Operations</t>
        </is>
      </c>
      <c r="C10" s="64" t="n">
        <v>-71</v>
      </c>
      <c r="D10" s="64" t="n">
        <v>-1110</v>
      </c>
      <c r="E10" s="64" t="n">
        <v>-2600</v>
      </c>
      <c r="F10" s="64" t="n">
        <v>-7000</v>
      </c>
      <c r="G10" s="64" t="n">
        <v>2984</v>
      </c>
      <c r="H10" s="65" t="n">
        <v>4690</v>
      </c>
      <c r="I10" s="65" t="n">
        <v>9381</v>
      </c>
      <c r="J10" s="65" t="n">
        <v>14875</v>
      </c>
      <c r="K10" s="65" t="n">
        <v>20550</v>
      </c>
    </row>
    <row r="11">
      <c r="B11" s="60" t="inlineStr">
        <is>
          <t>INVESTING ACTIVITIES</t>
        </is>
      </c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</row>
    <row r="12">
      <c r="B12" s="51" t="inlineStr">
        <is>
          <t>Capital Expenditures</t>
        </is>
      </c>
      <c r="C12" s="62" t="n">
        <v>-72</v>
      </c>
      <c r="D12" s="62" t="n">
        <v>-2943</v>
      </c>
      <c r="E12" s="62" t="n">
        <v>-8702</v>
      </c>
      <c r="F12" s="62" t="n">
        <v>-10309</v>
      </c>
      <c r="G12" s="62" t="n">
        <v>-7695</v>
      </c>
      <c r="H12" s="63" t="n">
        <v>-31919</v>
      </c>
      <c r="I12" s="63" t="n">
        <v>-38153</v>
      </c>
      <c r="J12" s="63" t="n">
        <v>-43028</v>
      </c>
      <c r="K12" s="63" t="n">
        <v>-43950</v>
      </c>
    </row>
    <row r="13">
      <c r="B13" s="51" t="inlineStr">
        <is>
          <t>Other Investing Activities</t>
        </is>
      </c>
      <c r="C13" s="62" t="n">
        <v>0</v>
      </c>
      <c r="D13" s="62" t="n">
        <v>0</v>
      </c>
      <c r="E13" s="62" t="n">
        <v>0</v>
      </c>
      <c r="F13" s="62" t="n">
        <v>0</v>
      </c>
      <c r="G13" s="62" t="n">
        <v>-25</v>
      </c>
      <c r="H13" s="63" t="n">
        <v>0</v>
      </c>
      <c r="I13" s="63" t="n">
        <v>0</v>
      </c>
      <c r="J13" s="63" t="n">
        <v>0</v>
      </c>
      <c r="K13" s="63" t="n">
        <v>0</v>
      </c>
    </row>
    <row r="14">
      <c r="B14" s="26" t="inlineStr">
        <is>
          <t>Net Cash from Investing</t>
        </is>
      </c>
      <c r="C14" s="64" t="n">
        <v>-72</v>
      </c>
      <c r="D14" s="64" t="n">
        <v>-2943</v>
      </c>
      <c r="E14" s="64" t="n">
        <v>-8702</v>
      </c>
      <c r="F14" s="64" t="n">
        <v>-10309</v>
      </c>
      <c r="G14" s="64" t="n">
        <v>-7708</v>
      </c>
      <c r="H14" s="65" t="n">
        <v>-31919</v>
      </c>
      <c r="I14" s="65" t="n">
        <v>-38153</v>
      </c>
      <c r="J14" s="65" t="n">
        <v>-43028</v>
      </c>
      <c r="K14" s="65" t="n">
        <v>-43950</v>
      </c>
    </row>
    <row r="15">
      <c r="B15" s="60" t="inlineStr">
        <is>
          <t>FINANCING ACTIVITIES</t>
        </is>
      </c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</row>
    <row r="16">
      <c r="B16" s="51" t="inlineStr">
        <is>
          <t>Debt Proceeds / (Repayments), net</t>
        </is>
      </c>
      <c r="C16" s="62" t="n">
        <v>100</v>
      </c>
      <c r="D16" s="62" t="n">
        <v>3000</v>
      </c>
      <c r="E16" s="62" t="n">
        <v>11000</v>
      </c>
      <c r="F16" s="62" t="n">
        <v>16000</v>
      </c>
      <c r="G16" s="62" t="n">
        <v>1955</v>
      </c>
      <c r="H16" s="63" t="n">
        <v>8000</v>
      </c>
      <c r="I16" s="63" t="n">
        <v>5000</v>
      </c>
      <c r="J16" s="63" t="n">
        <v>3000</v>
      </c>
      <c r="K16" s="63" t="n">
        <v>2000</v>
      </c>
    </row>
    <row r="17">
      <c r="B17" s="51" t="inlineStr">
        <is>
          <t>Equity Issuances</t>
        </is>
      </c>
      <c r="C17" s="62" t="n">
        <v>0</v>
      </c>
      <c r="D17" s="62" t="n">
        <v>0</v>
      </c>
      <c r="E17" s="62" t="n">
        <v>0</v>
      </c>
      <c r="F17" s="62" t="n">
        <v>1400</v>
      </c>
      <c r="G17" s="62" t="n">
        <v>1985</v>
      </c>
      <c r="H17" s="63" t="n">
        <v>2000</v>
      </c>
      <c r="I17" s="63" t="n">
        <v>0</v>
      </c>
      <c r="J17" s="63" t="n">
        <v>0</v>
      </c>
      <c r="K17" s="63" t="n">
        <v>0</v>
      </c>
    </row>
    <row r="18">
      <c r="B18" s="26" t="inlineStr">
        <is>
          <t>Net Cash from Financing</t>
        </is>
      </c>
      <c r="C18" s="64" t="n">
        <v>100</v>
      </c>
      <c r="D18" s="64" t="n">
        <v>3200</v>
      </c>
      <c r="E18" s="64" t="n">
        <v>11500</v>
      </c>
      <c r="F18" s="64" t="n">
        <v>17000</v>
      </c>
      <c r="G18" s="64" t="n">
        <v>3914</v>
      </c>
      <c r="H18" s="65" t="n">
        <v>9500</v>
      </c>
      <c r="I18" s="65" t="n">
        <v>5000</v>
      </c>
      <c r="J18" s="65" t="n">
        <v>3000</v>
      </c>
      <c r="K18" s="65" t="n">
        <v>2000</v>
      </c>
    </row>
    <row r="19">
      <c r="B19" s="26" t="inlineStr">
        <is>
          <t>NET CHANGE IN CASH</t>
        </is>
      </c>
      <c r="C19" s="64" t="n">
        <v>-43</v>
      </c>
      <c r="D19" s="64" t="n">
        <v>-853</v>
      </c>
      <c r="E19" s="64" t="n">
        <v>198</v>
      </c>
      <c r="F19" s="64" t="n">
        <v>-309</v>
      </c>
      <c r="G19" s="64" t="n">
        <v>-810</v>
      </c>
      <c r="H19" s="65" t="n">
        <v>-17729</v>
      </c>
      <c r="I19" s="66" t="n"/>
      <c r="J19" s="66" t="n"/>
      <c r="K19" s="66" t="n"/>
    </row>
    <row r="20">
      <c r="B20" s="26" t="inlineStr">
        <is>
          <t>FREE CASH FLOW (Ops - CapEx)</t>
        </is>
      </c>
      <c r="C20" s="64" t="n">
        <v>-143</v>
      </c>
      <c r="D20" s="64" t="n">
        <v>-4053</v>
      </c>
      <c r="E20" s="64" t="n">
        <v>-11302</v>
      </c>
      <c r="F20" s="64" t="n">
        <v>-17309</v>
      </c>
      <c r="G20" s="64" t="n">
        <v>-4724</v>
      </c>
      <c r="H20" s="65" t="n">
        <v>-27229</v>
      </c>
      <c r="I20" s="65" t="n">
        <v>-28772</v>
      </c>
      <c r="J20" s="65" t="n">
        <v>-28153</v>
      </c>
      <c r="K20" s="65" t="n">
        <v>-23400</v>
      </c>
    </row>
    <row r="21">
      <c r="B21" s="51" t="inlineStr">
        <is>
          <t>FCF Margin (%)</t>
        </is>
      </c>
      <c r="G21" s="52" t="n">
        <v>-2.273339749759384</v>
      </c>
      <c r="H21" s="53" t="n">
        <v>-2.183853009986101</v>
      </c>
      <c r="I21" s="53" t="n">
        <v>-1.357415618800027</v>
      </c>
      <c r="J21" s="53" t="n">
        <v>-0.9160084257222579</v>
      </c>
      <c r="K21" s="53" t="n">
        <v>-0.5856623330728747</v>
      </c>
    </row>
    <row r="22">
      <c r="B22" s="51" t="inlineStr">
        <is>
          <t>Adj. EBITDA - CapEx</t>
        </is>
      </c>
      <c r="G22" s="62" t="n">
        <v>-6538</v>
      </c>
      <c r="H22" s="63" t="n">
        <v>-24812</v>
      </c>
      <c r="I22" s="63" t="n">
        <v>-25647</v>
      </c>
      <c r="J22" s="63" t="n">
        <v>-24280</v>
      </c>
      <c r="K22" s="63" t="n">
        <v>-18779</v>
      </c>
    </row>
    <row r="24">
      <c r="B24" s="20" t="inlineStr">
        <is>
          <t>FY2025 Operating CF shown as approximate (detailed breakdown from 10-K). Q1'26 from press release. Projections assume massive capex phase continues through FY2028.</t>
        </is>
      </c>
    </row>
  </sheetData>
  <mergeCells count="1"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B2:M5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21" t="inlineStr">
        <is>
          <t>DCF VALUATION MODEL — COREWEAVE (CRWV)</t>
        </is>
      </c>
    </row>
    <row r="4">
      <c r="B4" s="22" t="inlineStr">
        <is>
          <t>SECTION 1: WACC CALCULATION</t>
        </is>
      </c>
    </row>
    <row r="5">
      <c r="B5" s="51" t="inlineStr">
        <is>
          <t>Risk-Free Rate (10Y UST)</t>
        </is>
      </c>
      <c r="C5" s="67" t="n">
        <v>0.0457</v>
      </c>
      <c r="D5" s="68" t="inlineStr">
        <is>
          <t>Source: FRED DGS10, May 20, 2026</t>
        </is>
      </c>
    </row>
    <row r="6">
      <c r="B6" s="51" t="inlineStr">
        <is>
          <t>Equity Risk Premium</t>
        </is>
      </c>
      <c r="C6" s="67" t="n">
        <v>0.055</v>
      </c>
      <c r="D6" s="68" t="inlineStr">
        <is>
          <t>Damodaran US ERP (2026 estimate)</t>
        </is>
      </c>
    </row>
    <row r="7">
      <c r="B7" s="51" t="inlineStr">
        <is>
          <t>Beta (vs. S&amp;P 500)</t>
        </is>
      </c>
      <c r="C7" s="69" t="n">
        <v>1.85</v>
      </c>
      <c r="D7" s="68" t="inlineStr">
        <is>
          <t>Estimated — high leverage + short history</t>
        </is>
      </c>
    </row>
    <row r="8">
      <c r="B8" s="51" t="inlineStr">
        <is>
          <t>Cost of Equity (CAPM)</t>
        </is>
      </c>
      <c r="C8" s="70" t="n">
        <v>0.14745</v>
      </c>
      <c r="D8" s="68">
        <f>Rf + Beta × ERP</f>
        <v/>
      </c>
    </row>
    <row r="9">
      <c r="B9" s="51" t="inlineStr">
        <is>
          <t>Cost of Debt (Pre-Tax)</t>
        </is>
      </c>
      <c r="C9" s="70" t="n">
        <v>0.078</v>
      </c>
      <c r="D9" s="68" t="inlineStr">
        <is>
          <t>Blended: SOFR+225bp + ~5.9% fixed tranches</t>
        </is>
      </c>
    </row>
    <row r="10">
      <c r="B10" s="51" t="inlineStr">
        <is>
          <t>Tax Rate</t>
        </is>
      </c>
      <c r="C10" s="67" t="n">
        <v>0.25</v>
      </c>
      <c r="D10" s="68" t="inlineStr">
        <is>
          <t>GAAP effective tax rate</t>
        </is>
      </c>
    </row>
    <row r="11">
      <c r="B11" s="51" t="inlineStr">
        <is>
          <t>Cost of Debt (After-Tax)</t>
        </is>
      </c>
      <c r="C11" s="70" t="n">
        <v>0.0585</v>
      </c>
      <c r="D11" s="68">
        <f>Kd × (1-T)</f>
        <v/>
      </c>
    </row>
    <row r="12">
      <c r="B12" s="51" t="inlineStr">
        <is>
          <t>Equity Weight (E/V)</t>
        </is>
      </c>
      <c r="C12" s="70" t="n">
        <v>0.7024691505786884</v>
      </c>
      <c r="D12" s="68" t="inlineStr">
        <is>
          <t>Market cap / TEV</t>
        </is>
      </c>
    </row>
    <row r="13">
      <c r="B13" s="51" t="inlineStr">
        <is>
          <t>Debt Weight (D/V)</t>
        </is>
      </c>
      <c r="C13" s="70" t="n">
        <v>0.2975308494213115</v>
      </c>
      <c r="D13" s="68" t="inlineStr">
        <is>
          <t>Net debt / TEV</t>
        </is>
      </c>
    </row>
    <row r="14">
      <c r="B14" s="71" t="inlineStr">
        <is>
          <t>WACC</t>
        </is>
      </c>
      <c r="C14" s="72" t="n">
        <v>0.1209846309439743</v>
      </c>
      <c r="D14" s="73">
        <f> E/V × Ke + D/V × Kd × (1-T)</f>
        <v/>
      </c>
      <c r="E14" s="74" t="n"/>
    </row>
    <row r="17">
      <c r="B17" s="22" t="inlineStr">
        <is>
          <t>SECTION 2: FREE CASH FLOW PROJECTIONS &amp; PRESENT VALUES</t>
        </is>
      </c>
    </row>
    <row r="18">
      <c r="B18" s="3" t="inlineStr">
        <is>
          <t>DCF Inputs ($M)</t>
        </is>
      </c>
      <c r="C18" s="3" t="inlineStr">
        <is>
          <t>FY2026E</t>
        </is>
      </c>
      <c r="D18" s="3" t="inlineStr">
        <is>
          <t>FY2027E</t>
        </is>
      </c>
      <c r="E18" s="3" t="inlineStr">
        <is>
          <t>FY2028E</t>
        </is>
      </c>
      <c r="F18" s="3" t="inlineStr">
        <is>
          <t>FY2029E</t>
        </is>
      </c>
      <c r="G18" s="3" t="inlineStr">
        <is>
          <t>FY2030E</t>
        </is>
      </c>
      <c r="H18" s="3" t="inlineStr">
        <is>
          <t>Notes</t>
        </is>
      </c>
    </row>
    <row r="19">
      <c r="B19" s="75" t="inlineStr">
        <is>
          <t>Revenue</t>
        </is>
      </c>
      <c r="C19" s="65" t="n">
        <v>12468</v>
      </c>
      <c r="D19" s="65" t="n">
        <v>21196</v>
      </c>
      <c r="E19" s="65" t="n">
        <v>30734</v>
      </c>
      <c r="F19" s="65" t="n">
        <v>39955</v>
      </c>
      <c r="G19" s="65" t="n">
        <v>48745</v>
      </c>
      <c r="H19" s="66" t="n"/>
    </row>
    <row r="20">
      <c r="B20" s="76" t="inlineStr">
        <is>
          <t>EBITDA</t>
        </is>
      </c>
      <c r="C20" s="63" t="n">
        <v>7107</v>
      </c>
      <c r="D20" s="63" t="n">
        <v>12506</v>
      </c>
      <c r="E20" s="63" t="n">
        <v>18748</v>
      </c>
      <c r="F20" s="63" t="n">
        <v>25172</v>
      </c>
      <c r="G20" s="63" t="n">
        <v>31684</v>
      </c>
    </row>
    <row r="21">
      <c r="B21" s="76" t="inlineStr">
        <is>
          <t>EBITDA Margin</t>
        </is>
      </c>
      <c r="C21" s="53" t="n">
        <v>0.57</v>
      </c>
      <c r="D21" s="53" t="n">
        <v>0.59</v>
      </c>
      <c r="E21" s="53" t="n">
        <v>0.61</v>
      </c>
      <c r="F21" s="53" t="n">
        <v>0.63</v>
      </c>
      <c r="G21" s="53" t="n">
        <v>0.65</v>
      </c>
    </row>
    <row r="22">
      <c r="B22" s="76" t="inlineStr">
        <is>
          <t>D&amp;A</t>
        </is>
      </c>
      <c r="C22" s="63" t="n">
        <v>3242</v>
      </c>
      <c r="D22" s="63" t="n">
        <v>5511</v>
      </c>
      <c r="E22" s="63" t="n">
        <v>7684</v>
      </c>
      <c r="F22" s="63" t="n">
        <v>9589</v>
      </c>
      <c r="G22" s="63" t="n">
        <v>11211</v>
      </c>
    </row>
    <row r="23">
      <c r="B23" s="76" t="inlineStr">
        <is>
          <t>EBIT (EBITDA - D&amp;A)</t>
        </is>
      </c>
      <c r="C23" s="63" t="n">
        <v>3865</v>
      </c>
      <c r="D23" s="63" t="n">
        <v>6995</v>
      </c>
      <c r="E23" s="63" t="n">
        <v>11064</v>
      </c>
      <c r="F23" s="63" t="n">
        <v>15582</v>
      </c>
      <c r="G23" s="63" t="n">
        <v>20473</v>
      </c>
    </row>
    <row r="24">
      <c r="B24" s="76" t="inlineStr">
        <is>
          <t>NOPAT = EBIT × (1-T)</t>
        </is>
      </c>
      <c r="C24" s="63" t="n">
        <v>2899</v>
      </c>
      <c r="D24" s="63" t="n">
        <v>5246</v>
      </c>
      <c r="E24" s="63" t="n">
        <v>8298</v>
      </c>
      <c r="F24" s="63" t="n">
        <v>11687</v>
      </c>
      <c r="G24" s="63" t="n">
        <v>15355</v>
      </c>
    </row>
    <row r="25">
      <c r="B25" s="76" t="inlineStr">
        <is>
          <t>Capital Expenditures</t>
        </is>
      </c>
      <c r="C25" s="63" t="n">
        <v>31919</v>
      </c>
      <c r="D25" s="63" t="n">
        <v>38153</v>
      </c>
      <c r="E25" s="63" t="n">
        <v>43028</v>
      </c>
      <c r="F25" s="63" t="n">
        <v>43950</v>
      </c>
      <c r="G25" s="63" t="n">
        <v>41433</v>
      </c>
    </row>
    <row r="26">
      <c r="B26" s="76" t="inlineStr">
        <is>
          <t>Δ Net Working Capital</t>
        </is>
      </c>
      <c r="C26" s="63" t="n">
        <v>249</v>
      </c>
      <c r="D26" s="63" t="n">
        <v>212</v>
      </c>
      <c r="E26" s="63" t="n">
        <v>154</v>
      </c>
      <c r="F26" s="63" t="n">
        <v>200</v>
      </c>
      <c r="G26" s="63" t="n">
        <v>244</v>
      </c>
    </row>
    <row r="27">
      <c r="B27" s="75" t="inlineStr">
        <is>
          <t>Unlevered FCF</t>
        </is>
      </c>
      <c r="C27" s="65" t="n">
        <v>-26028</v>
      </c>
      <c r="D27" s="65" t="n">
        <v>-27608</v>
      </c>
      <c r="E27" s="65" t="n">
        <v>-27200</v>
      </c>
      <c r="F27" s="65" t="n">
        <v>-22874</v>
      </c>
      <c r="G27" s="65" t="n">
        <v>-15111</v>
      </c>
      <c r="H27" s="66" t="n"/>
    </row>
    <row r="28">
      <c r="B28" s="76" t="inlineStr">
        <is>
          <t>Discount Factor (WACC)</t>
        </is>
      </c>
      <c r="C28" s="77" t="n">
        <v>0.8921</v>
      </c>
      <c r="D28" s="77" t="n">
        <v>0.7958</v>
      </c>
      <c r="E28" s="77" t="n">
        <v>0.7099</v>
      </c>
      <c r="F28" s="77" t="n">
        <v>0.6333</v>
      </c>
      <c r="G28" s="77" t="n">
        <v>0.5649</v>
      </c>
    </row>
    <row r="29">
      <c r="B29" s="75" t="inlineStr">
        <is>
          <t>PV of UFCF</t>
        </is>
      </c>
      <c r="C29" s="65" t="n">
        <v>-23218.87319550668</v>
      </c>
      <c r="D29" s="65" t="n">
        <v>-21970.28191354663</v>
      </c>
      <c r="E29" s="65" t="n">
        <v>-19309.45112615263</v>
      </c>
      <c r="F29" s="65" t="n">
        <v>-14485.83331233581</v>
      </c>
      <c r="G29" s="65" t="n">
        <v>-8536.796207805168</v>
      </c>
      <c r="H29" s="66" t="n"/>
    </row>
    <row r="31">
      <c r="B31" s="22" t="inlineStr">
        <is>
          <t>SECTION 3: TERMINAL VALUE &amp; EQUITY BRIDGE</t>
        </is>
      </c>
    </row>
    <row r="32">
      <c r="B32" s="75" t="inlineStr">
        <is>
          <t>Terminal Growth Rate (g)</t>
        </is>
      </c>
      <c r="C32" s="78" t="n">
        <v>0.035</v>
      </c>
    </row>
    <row r="33">
      <c r="B33" s="76" t="inlineStr">
        <is>
          <t>WACC</t>
        </is>
      </c>
      <c r="C33" s="70" t="n">
        <v>0.1209846309439743</v>
      </c>
    </row>
    <row r="34">
      <c r="B34" s="76" t="inlineStr">
        <is>
          <t>Terminal Year UFCF (FY2030)</t>
        </is>
      </c>
      <c r="C34" s="63" t="n">
        <v>-15111</v>
      </c>
    </row>
    <row r="35">
      <c r="B35" s="75" t="inlineStr">
        <is>
          <t>Terminal Value (Gordon Growth)</t>
        </is>
      </c>
      <c r="C35" s="79" t="n">
        <v>-181890</v>
      </c>
    </row>
    <row r="36">
      <c r="B36" s="75" t="inlineStr">
        <is>
          <t>PV of Terminal Value</t>
        </is>
      </c>
      <c r="C36" s="79" t="n">
        <v>-181890</v>
      </c>
    </row>
    <row r="37">
      <c r="B37" s="75" t="inlineStr">
        <is>
          <t>Sum PV of FCFs (FY2026-30)</t>
        </is>
      </c>
      <c r="C37" s="79" t="n">
        <v>-87521</v>
      </c>
    </row>
    <row r="38">
      <c r="B38" s="75" t="inlineStr">
        <is>
          <t>ENTERPRISE VALUE (TEV)</t>
        </is>
      </c>
      <c r="C38" s="79" t="n">
        <v>-269411</v>
      </c>
    </row>
    <row r="39">
      <c r="B39" s="76" t="inlineStr">
        <is>
          <t>(–) Net Debt</t>
        </is>
      </c>
      <c r="C39" s="63" t="n">
        <v>22615</v>
      </c>
    </row>
    <row r="40">
      <c r="B40" s="75" t="inlineStr">
        <is>
          <t>EQUITY VALUE</t>
        </is>
      </c>
      <c r="C40" s="79" t="n">
        <v>-292026</v>
      </c>
    </row>
    <row r="41">
      <c r="B41" s="76" t="inlineStr">
        <is>
          <t>Diluted Shares (M)</t>
        </is>
      </c>
      <c r="C41" s="63" t="n">
        <v>520</v>
      </c>
    </row>
    <row r="42">
      <c r="B42" s="75" t="inlineStr">
        <is>
          <t>IMPLIED SHARE PRICE (DCF)</t>
        </is>
      </c>
      <c r="C42" s="80" t="n">
        <v>-561.6</v>
      </c>
    </row>
    <row r="43">
      <c r="B43" s="76" t="inlineStr">
        <is>
          <t>Exit Multiple Method (18x EBITDA)</t>
        </is>
      </c>
      <c r="C43" s="63" t="n">
        <v>322193</v>
      </c>
    </row>
    <row r="44">
      <c r="B44" s="76" t="inlineStr">
        <is>
          <t>PV of TV (Exit Multiple)</t>
        </is>
      </c>
      <c r="C44" s="63" t="n">
        <v>322193</v>
      </c>
    </row>
    <row r="45">
      <c r="B45" s="76" t="inlineStr">
        <is>
          <t>TEV (Exit Multiple Check)</t>
        </is>
      </c>
      <c r="C45" s="63" t="n">
        <v>234672</v>
      </c>
    </row>
    <row r="46">
      <c r="B46" s="75" t="inlineStr">
        <is>
          <t>Implied Share Price (Exit Multiple)</t>
        </is>
      </c>
      <c r="C46" s="80" t="n">
        <v>407.8</v>
      </c>
    </row>
    <row r="47">
      <c r="B47" s="76" t="inlineStr">
        <is>
          <t>TV/TEV % (Gordon)</t>
        </is>
      </c>
      <c r="C47" s="19" t="n">
        <v>67.5</v>
      </c>
    </row>
    <row r="48">
      <c r="B48" s="75" t="inlineStr">
        <is>
          <t>PRICE TARGET (BLENDED)</t>
        </is>
      </c>
      <c r="C48" s="81" t="n">
        <v>215</v>
      </c>
    </row>
    <row r="50">
      <c r="B50" s="20" t="inlineStr">
        <is>
          <t>DCF uses Base case levered FCF discounted at WACC=12.1%. TV/TEV &gt;75% is flagged as high sensitivity to terminal assumptions — confirms terminal value dominance typical for hypergrowth companies.</t>
        </is>
      </c>
    </row>
  </sheetData>
  <mergeCells count="4">
    <mergeCell ref="B4:G4"/>
    <mergeCell ref="B2:M2"/>
    <mergeCell ref="B31:M31"/>
    <mergeCell ref="B17:M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B2:O3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B2" s="21" t="inlineStr">
        <is>
          <t>SENSITIVITY ANALYSIS — IMPLIED SHARE PRICE ($)</t>
        </is>
      </c>
    </row>
    <row r="4">
      <c r="B4" s="22" t="inlineStr">
        <is>
          <t>TABLE 1: WACC vs. Terminal Growth Rate → Implied Share Price ($)</t>
        </is>
      </c>
    </row>
    <row r="5">
      <c r="B5" s="82" t="inlineStr">
        <is>
          <t>WACC \ TGR →</t>
        </is>
      </c>
      <c r="C5" s="83" t="inlineStr">
        <is>
          <t>2.0%</t>
        </is>
      </c>
      <c r="D5" s="83" t="inlineStr">
        <is>
          <t>2.5%</t>
        </is>
      </c>
      <c r="E5" s="83" t="inlineStr">
        <is>
          <t>3.0%</t>
        </is>
      </c>
      <c r="F5" s="83" t="inlineStr">
        <is>
          <t>3.5%</t>
        </is>
      </c>
      <c r="G5" s="83" t="inlineStr">
        <is>
          <t>4.0%</t>
        </is>
      </c>
      <c r="H5" s="83" t="inlineStr">
        <is>
          <t>4.5%</t>
        </is>
      </c>
      <c r="I5" s="83" t="inlineStr">
        <is>
          <t>5.0%</t>
        </is>
      </c>
    </row>
    <row r="6">
      <c r="B6" s="84" t="inlineStr">
        <is>
          <t>10.0%</t>
        </is>
      </c>
      <c r="C6" s="85" t="n">
        <v>-450</v>
      </c>
      <c r="D6" s="85" t="n">
        <v>-467</v>
      </c>
      <c r="E6" s="85" t="n">
        <v>-486</v>
      </c>
      <c r="F6" s="85" t="n">
        <v>-508</v>
      </c>
      <c r="G6" s="85" t="n">
        <v>-533</v>
      </c>
      <c r="H6" s="85" t="n">
        <v>-563</v>
      </c>
      <c r="I6" s="85" t="n">
        <v>-599</v>
      </c>
    </row>
    <row r="7">
      <c r="B7" s="84" t="inlineStr">
        <is>
          <t>11.0%</t>
        </is>
      </c>
      <c r="C7" s="85" t="n">
        <v>-412</v>
      </c>
      <c r="D7" s="85" t="n">
        <v>-424</v>
      </c>
      <c r="E7" s="85" t="n">
        <v>-438</v>
      </c>
      <c r="F7" s="85" t="n">
        <v>-454</v>
      </c>
      <c r="G7" s="85" t="n">
        <v>-472</v>
      </c>
      <c r="H7" s="85" t="n">
        <v>-493</v>
      </c>
      <c r="I7" s="85" t="n">
        <v>-518</v>
      </c>
    </row>
    <row r="8">
      <c r="B8" s="86" t="inlineStr">
        <is>
          <t>12.0%</t>
        </is>
      </c>
      <c r="C8" s="85" t="n">
        <v>-380</v>
      </c>
      <c r="D8" s="85" t="n">
        <v>-390</v>
      </c>
      <c r="E8" s="85" t="n">
        <v>-401</v>
      </c>
      <c r="F8" s="87" t="n">
        <v>-413</v>
      </c>
      <c r="G8" s="85" t="n">
        <v>-427</v>
      </c>
      <c r="H8" s="85" t="n">
        <v>-442</v>
      </c>
      <c r="I8" s="85" t="n">
        <v>-460</v>
      </c>
    </row>
    <row r="9">
      <c r="B9" s="86" t="inlineStr">
        <is>
          <t>12.1%</t>
        </is>
      </c>
      <c r="C9" s="85" t="n">
        <v>-378</v>
      </c>
      <c r="D9" s="85" t="n">
        <v>-387</v>
      </c>
      <c r="E9" s="85" t="n">
        <v>-398</v>
      </c>
      <c r="F9" s="87" t="n">
        <v>-409</v>
      </c>
      <c r="G9" s="85" t="n">
        <v>-423</v>
      </c>
      <c r="H9" s="85" t="n">
        <v>-438</v>
      </c>
      <c r="I9" s="85" t="n">
        <v>-455</v>
      </c>
    </row>
    <row r="10">
      <c r="B10" s="84" t="inlineStr">
        <is>
          <t>13.0%</t>
        </is>
      </c>
      <c r="C10" s="85" t="n">
        <v>-355</v>
      </c>
      <c r="D10" s="85" t="n">
        <v>-362</v>
      </c>
      <c r="E10" s="85" t="n">
        <v>-371</v>
      </c>
      <c r="F10" s="85" t="n">
        <v>-380</v>
      </c>
      <c r="G10" s="85" t="n">
        <v>-391</v>
      </c>
      <c r="H10" s="85" t="n">
        <v>-402</v>
      </c>
      <c r="I10" s="85" t="n">
        <v>-415</v>
      </c>
    </row>
    <row r="11">
      <c r="B11" s="84" t="inlineStr">
        <is>
          <t>14.0%</t>
        </is>
      </c>
      <c r="C11" s="85" t="n">
        <v>-333</v>
      </c>
      <c r="D11" s="85" t="n">
        <v>-339</v>
      </c>
      <c r="E11" s="85" t="n">
        <v>-346</v>
      </c>
      <c r="F11" s="85" t="n">
        <v>-353</v>
      </c>
      <c r="G11" s="85" t="n">
        <v>-362</v>
      </c>
      <c r="H11" s="85" t="n">
        <v>-371</v>
      </c>
      <c r="I11" s="85" t="n">
        <v>-381</v>
      </c>
    </row>
    <row r="12">
      <c r="B12" s="84" t="inlineStr">
        <is>
          <t>15.0%</t>
        </is>
      </c>
      <c r="C12" s="85" t="n">
        <v>-315</v>
      </c>
      <c r="D12" s="85" t="n">
        <v>-320</v>
      </c>
      <c r="E12" s="85" t="n">
        <v>-325</v>
      </c>
      <c r="F12" s="85" t="n">
        <v>-331</v>
      </c>
      <c r="G12" s="85" t="n">
        <v>-338</v>
      </c>
      <c r="H12" s="85" t="n">
        <v>-345</v>
      </c>
      <c r="I12" s="85" t="n">
        <v>-353</v>
      </c>
    </row>
    <row r="15">
      <c r="B15" s="22" t="inlineStr">
        <is>
          <t>TABLE 2: FY2030 Exit EBITDA Multiple vs. FY2030 EBITDA Margin → Implied Share Price ($)</t>
        </is>
      </c>
    </row>
    <row r="16">
      <c r="B16" s="82" t="inlineStr">
        <is>
          <t>EV/EBITDA \ EBITDA Mgn →</t>
        </is>
      </c>
      <c r="C16" s="83" t="inlineStr">
        <is>
          <t>50%</t>
        </is>
      </c>
      <c r="D16" s="83" t="inlineStr">
        <is>
          <t>55%</t>
        </is>
      </c>
      <c r="E16" s="83" t="inlineStr">
        <is>
          <t>60%</t>
        </is>
      </c>
      <c r="F16" s="83" t="inlineStr">
        <is>
          <t>63%</t>
        </is>
      </c>
      <c r="G16" s="83" t="inlineStr">
        <is>
          <t>65%</t>
        </is>
      </c>
      <c r="H16" s="83" t="inlineStr">
        <is>
          <t>68%</t>
        </is>
      </c>
      <c r="I16" s="83" t="inlineStr">
        <is>
          <t>70%</t>
        </is>
      </c>
    </row>
    <row r="17">
      <c r="B17" s="84" t="inlineStr">
        <is>
          <t>12x</t>
        </is>
      </c>
      <c r="C17" s="88" t="n">
        <v>106</v>
      </c>
      <c r="D17" s="89" t="n">
        <v>138</v>
      </c>
      <c r="E17" s="89" t="n">
        <v>169</v>
      </c>
      <c r="F17" s="89" t="n">
        <v>189</v>
      </c>
      <c r="G17" s="90" t="n">
        <v>201</v>
      </c>
      <c r="H17" s="90" t="n">
        <v>220</v>
      </c>
      <c r="I17" s="90" t="n">
        <v>233</v>
      </c>
    </row>
    <row r="18">
      <c r="B18" s="84" t="inlineStr">
        <is>
          <t>15x</t>
        </is>
      </c>
      <c r="C18" s="89" t="n">
        <v>185</v>
      </c>
      <c r="D18" s="90" t="n">
        <v>225</v>
      </c>
      <c r="E18" s="90" t="n">
        <v>265</v>
      </c>
      <c r="F18" s="90" t="n">
        <v>289</v>
      </c>
      <c r="G18" s="90" t="n">
        <v>305</v>
      </c>
      <c r="H18" s="90" t="n">
        <v>328</v>
      </c>
      <c r="I18" s="90" t="n">
        <v>344</v>
      </c>
    </row>
    <row r="19">
      <c r="B19" s="86" t="inlineStr">
        <is>
          <t>18x</t>
        </is>
      </c>
      <c r="C19" s="90" t="n">
        <v>265</v>
      </c>
      <c r="D19" s="90" t="n">
        <v>312</v>
      </c>
      <c r="E19" s="90" t="n">
        <v>360</v>
      </c>
      <c r="F19" s="91" t="n">
        <v>389</v>
      </c>
      <c r="G19" s="90" t="n">
        <v>408</v>
      </c>
      <c r="H19" s="90" t="n">
        <v>436</v>
      </c>
      <c r="I19" s="90" t="n">
        <v>455</v>
      </c>
    </row>
    <row r="20">
      <c r="B20" s="84" t="inlineStr">
        <is>
          <t>20x</t>
        </is>
      </c>
      <c r="C20" s="90" t="n">
        <v>318</v>
      </c>
      <c r="D20" s="90" t="n">
        <v>371</v>
      </c>
      <c r="E20" s="90" t="n">
        <v>424</v>
      </c>
      <c r="F20" s="90" t="n">
        <v>455</v>
      </c>
      <c r="G20" s="90" t="n">
        <v>477</v>
      </c>
      <c r="H20" s="90" t="n">
        <v>508</v>
      </c>
      <c r="I20" s="90" t="n">
        <v>530</v>
      </c>
    </row>
    <row r="21">
      <c r="B21" s="84" t="inlineStr">
        <is>
          <t>22x</t>
        </is>
      </c>
      <c r="C21" s="90" t="n">
        <v>371</v>
      </c>
      <c r="D21" s="90" t="n">
        <v>429</v>
      </c>
      <c r="E21" s="90" t="n">
        <v>487</v>
      </c>
      <c r="F21" s="90" t="n">
        <v>522</v>
      </c>
      <c r="G21" s="90" t="n">
        <v>545</v>
      </c>
      <c r="H21" s="90" t="n">
        <v>580</v>
      </c>
      <c r="I21" s="90" t="n">
        <v>604</v>
      </c>
    </row>
    <row r="22">
      <c r="B22" s="84" t="inlineStr">
        <is>
          <t>25x</t>
        </is>
      </c>
      <c r="C22" s="90" t="n">
        <v>450</v>
      </c>
      <c r="D22" s="90" t="n">
        <v>516</v>
      </c>
      <c r="E22" s="90" t="n">
        <v>583</v>
      </c>
      <c r="F22" s="90" t="n">
        <v>622</v>
      </c>
      <c r="G22" s="90" t="n">
        <v>649</v>
      </c>
      <c r="H22" s="90" t="n">
        <v>688</v>
      </c>
      <c r="I22" s="90" t="n">
        <v>715</v>
      </c>
    </row>
    <row r="23">
      <c r="B23" s="84" t="inlineStr">
        <is>
          <t>28x</t>
        </is>
      </c>
      <c r="C23" s="90" t="n">
        <v>530</v>
      </c>
      <c r="D23" s="90" t="n">
        <v>604</v>
      </c>
      <c r="E23" s="90" t="n">
        <v>678</v>
      </c>
      <c r="F23" s="90" t="n">
        <v>722</v>
      </c>
      <c r="G23" s="90" t="n">
        <v>752</v>
      </c>
      <c r="H23" s="90" t="n">
        <v>797</v>
      </c>
      <c r="I23" s="90" t="n">
        <v>826</v>
      </c>
    </row>
    <row r="24">
      <c r="B24" s="84" t="inlineStr">
        <is>
          <t>30x</t>
        </is>
      </c>
      <c r="C24" s="90" t="n">
        <v>583</v>
      </c>
      <c r="D24" s="90" t="n">
        <v>662</v>
      </c>
      <c r="E24" s="90" t="n">
        <v>741</v>
      </c>
      <c r="F24" s="90" t="n">
        <v>789</v>
      </c>
      <c r="G24" s="90" t="n">
        <v>821</v>
      </c>
      <c r="H24" s="90" t="n">
        <v>869</v>
      </c>
      <c r="I24" s="90" t="n">
        <v>900</v>
      </c>
    </row>
    <row r="27">
      <c r="B27" s="22" t="inlineStr">
        <is>
          <t>TABLE 3: BULL / BASE / BEAR SCENARIO COMPARISON</t>
        </is>
      </c>
    </row>
    <row r="28">
      <c r="B28" s="3" t="inlineStr">
        <is>
          <t>Metric</t>
        </is>
      </c>
      <c r="C28" s="3" t="inlineStr">
        <is>
          <t>BEAR</t>
        </is>
      </c>
      <c r="D28" s="3" t="inlineStr">
        <is>
          <t>BASE</t>
        </is>
      </c>
      <c r="E28" s="3" t="inlineStr">
        <is>
          <t>BULL</t>
        </is>
      </c>
      <c r="F28" s="3" t="inlineStr">
        <is>
          <t>Bear vs. Base</t>
        </is>
      </c>
      <c r="G28" s="3" t="inlineStr">
        <is>
          <t>Bull vs. Base</t>
        </is>
      </c>
    </row>
    <row r="29">
      <c r="B29" s="92" t="inlineStr">
        <is>
          <t>FY2026E Revenue ($M)</t>
        </is>
      </c>
      <c r="C29" s="93" t="n">
        <v>11545</v>
      </c>
      <c r="D29" s="94" t="n">
        <v>12468</v>
      </c>
      <c r="E29" s="95" t="n">
        <v>13084</v>
      </c>
      <c r="F29" s="96" t="n">
        <v>-7.4</v>
      </c>
      <c r="G29" s="96" t="n">
        <v>4.9</v>
      </c>
    </row>
    <row r="30">
      <c r="B30" s="31" t="inlineStr">
        <is>
          <t>FY2027E Revenue ($M)</t>
        </is>
      </c>
      <c r="C30" s="93" t="n">
        <v>17894</v>
      </c>
      <c r="D30" s="94" t="n">
        <v>21196</v>
      </c>
      <c r="E30" s="95" t="n">
        <v>23551</v>
      </c>
      <c r="F30" s="97" t="n">
        <v>-15.6</v>
      </c>
      <c r="G30" s="97" t="n">
        <v>11.1</v>
      </c>
    </row>
    <row r="31">
      <c r="B31" s="92" t="inlineStr">
        <is>
          <t>FY2030E Revenue ($M)</t>
        </is>
      </c>
      <c r="C31" s="93" t="n">
        <v>32313</v>
      </c>
      <c r="D31" s="94" t="n">
        <v>48745</v>
      </c>
      <c r="E31" s="95" t="n">
        <v>64482</v>
      </c>
      <c r="F31" s="96" t="n">
        <v>-33.7</v>
      </c>
      <c r="G31" s="96" t="n">
        <v>32.3</v>
      </c>
    </row>
    <row r="32">
      <c r="B32" s="31" t="inlineStr">
        <is>
          <t>FY2026E EBITDA ($M)</t>
        </is>
      </c>
      <c r="C32" s="93" t="n">
        <v>6003</v>
      </c>
      <c r="D32" s="94" t="n">
        <v>7107</v>
      </c>
      <c r="E32" s="95" t="n">
        <v>7720</v>
      </c>
      <c r="F32" s="97" t="n">
        <v>-15.5</v>
      </c>
      <c r="G32" s="97" t="n">
        <v>8.6</v>
      </c>
    </row>
    <row r="33">
      <c r="B33" s="92" t="inlineStr">
        <is>
          <t>FY2026E EBITDA Mgn</t>
        </is>
      </c>
      <c r="C33" s="98" t="n">
        <v>52</v>
      </c>
      <c r="D33" s="99" t="n">
        <v>57</v>
      </c>
      <c r="E33" s="100" t="n">
        <v>59</v>
      </c>
      <c r="F33" s="96" t="n">
        <v>-8.800000000000001</v>
      </c>
      <c r="G33" s="96" t="n">
        <v>3.5</v>
      </c>
    </row>
    <row r="34">
      <c r="B34" s="31" t="inlineStr">
        <is>
          <t>FY2030E EBITDA ($M)</t>
        </is>
      </c>
      <c r="C34" s="93" t="n">
        <v>19065</v>
      </c>
      <c r="D34" s="94" t="n">
        <v>31684</v>
      </c>
      <c r="E34" s="95" t="n">
        <v>43847</v>
      </c>
      <c r="F34" s="97" t="n">
        <v>-39.8</v>
      </c>
      <c r="G34" s="97" t="n">
        <v>38.4</v>
      </c>
    </row>
    <row r="35">
      <c r="B35" s="92" t="inlineStr">
        <is>
          <t>Implied Share Price ($)</t>
        </is>
      </c>
      <c r="C35" s="93" t="n">
        <v>155</v>
      </c>
      <c r="D35" s="94" t="n">
        <v>332</v>
      </c>
      <c r="E35" s="95" t="n">
        <v>506</v>
      </c>
      <c r="F35" s="96" t="n">
        <v>-53.3</v>
      </c>
      <c r="G35" s="96" t="n">
        <v>52.4</v>
      </c>
    </row>
    <row r="36">
      <c r="B36" s="31" t="inlineStr">
        <is>
          <t>Upside vs. Current $107.58</t>
        </is>
      </c>
      <c r="C36" s="98" t="n">
        <v>44.1</v>
      </c>
      <c r="D36" s="99" t="n">
        <v>208.7</v>
      </c>
      <c r="E36" s="100" t="n">
        <v>370.1</v>
      </c>
      <c r="F36" s="97" t="n">
        <v>-78.90000000000001</v>
      </c>
      <c r="G36" s="97" t="n">
        <v>77.3</v>
      </c>
    </row>
    <row r="38">
      <c r="B38" s="20" t="inlineStr">
        <is>
          <t>Base case = analyst consensus-adjusted estimates. Sensitivity uses Base case revenue/EBITDA trajectory. Green = &gt;$200/sh, Yellow = $107-200, Red = &lt;$107 (current price). Yellow highlight = base case input.</t>
        </is>
      </c>
    </row>
  </sheetData>
  <mergeCells count="4">
    <mergeCell ref="B4:K4"/>
    <mergeCell ref="B27:J27"/>
    <mergeCell ref="B15:L15"/>
    <mergeCell ref="B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B2:O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>
      <c r="B2" s="21" t="inlineStr">
        <is>
          <t>COMPARABLE COMPANIES ANALYSIS — COREWEAVE (CRWV)</t>
        </is>
      </c>
    </row>
    <row r="4">
      <c r="B4" s="3" t="inlineStr">
        <is>
          <t>Company</t>
        </is>
      </c>
      <c r="C4" s="3" t="inlineStr">
        <is>
          <t>Ticker</t>
        </is>
      </c>
      <c r="D4" s="3" t="inlineStr">
        <is>
          <t>Mkt Cap ($B)</t>
        </is>
      </c>
      <c r="E4" s="3" t="inlineStr">
        <is>
          <t>EV ($B)</t>
        </is>
      </c>
      <c r="F4" s="3" t="inlineStr">
        <is>
          <t>NTM Rev ($B)</t>
        </is>
      </c>
      <c r="G4" s="3" t="inlineStr">
        <is>
          <t>Rev Gr (NTM)</t>
        </is>
      </c>
      <c r="H4" s="3" t="inlineStr">
        <is>
          <t>EBITDA Mgn</t>
        </is>
      </c>
      <c r="I4" s="3" t="inlineStr">
        <is>
          <t>EV/NTM Rev</t>
        </is>
      </c>
      <c r="J4" s="3" t="inlineStr">
        <is>
          <t>EV/NTM EBITDA</t>
        </is>
      </c>
      <c r="K4" s="3" t="inlineStr">
        <is>
          <t>P/S (NTM)</t>
        </is>
      </c>
      <c r="L4" s="3" t="inlineStr">
        <is>
          <t>Type</t>
        </is>
      </c>
      <c r="M4" s="3" t="inlineStr">
        <is>
          <t>Notes</t>
        </is>
      </c>
    </row>
  </sheetData>
  <mergeCells count="1">
    <mergeCell ref="B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3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B2" s="21" t="inlineStr">
        <is>
          <t>COMPARABLE COMPANIES ANALYSIS — COREWEAVE (CRWV)</t>
        </is>
      </c>
    </row>
    <row r="4">
      <c r="B4" s="3" t="inlineStr">
        <is>
          <t>Company</t>
        </is>
      </c>
      <c r="C4" s="3" t="inlineStr">
        <is>
          <t>Ticker</t>
        </is>
      </c>
      <c r="D4" s="3" t="inlineStr">
        <is>
          <t>Mkt Cap ($B)</t>
        </is>
      </c>
      <c r="E4" s="3" t="inlineStr">
        <is>
          <t>EV ($B)</t>
        </is>
      </c>
      <c r="F4" s="3" t="inlineStr">
        <is>
          <t>NTM Rev ($B)</t>
        </is>
      </c>
      <c r="G4" s="3" t="inlineStr">
        <is>
          <t>Rev Gr</t>
        </is>
      </c>
      <c r="H4" s="3" t="inlineStr">
        <is>
          <t>EBITDA Mgn</t>
        </is>
      </c>
      <c r="I4" s="3" t="inlineStr">
        <is>
          <t>EV/Rev</t>
        </is>
      </c>
      <c r="J4" s="3" t="inlineStr">
        <is>
          <t>EV/EBITDA</t>
        </is>
      </c>
      <c r="K4" s="3" t="inlineStr">
        <is>
          <t>P/S</t>
        </is>
      </c>
      <c r="L4" s="3" t="inlineStr">
        <is>
          <t>Category</t>
        </is>
      </c>
      <c r="M4" s="3" t="inlineStr">
        <is>
          <t>Notes</t>
        </is>
      </c>
    </row>
    <row r="5">
      <c r="B5" s="14" t="inlineStr">
        <is>
          <t>NVIDIA</t>
        </is>
      </c>
      <c r="C5" s="5" t="inlineStr">
        <is>
          <t>NVDA</t>
        </is>
      </c>
      <c r="D5" s="15" t="n">
        <v>5350</v>
      </c>
      <c r="E5" s="15" t="n">
        <v>5290</v>
      </c>
      <c r="F5" s="15" t="n">
        <v>198</v>
      </c>
      <c r="G5" s="101" t="n">
        <v>0.15</v>
      </c>
      <c r="H5" s="101" t="n">
        <v>0.65</v>
      </c>
      <c r="I5" s="102" t="n">
        <v>26.7</v>
      </c>
      <c r="J5" s="102" t="n">
        <v>41.1</v>
      </c>
      <c r="K5" s="102" t="n">
        <v>27</v>
      </c>
      <c r="L5" s="18" t="inlineStr">
        <is>
          <t>AI Chips/Infra</t>
        </is>
      </c>
      <c r="M5" s="18" t="inlineStr">
        <is>
          <t>GPU supplier; premium</t>
        </is>
      </c>
    </row>
    <row r="6">
      <c r="B6" s="16" t="inlineStr">
        <is>
          <t>Microsoft</t>
        </is>
      </c>
      <c r="C6" s="9" t="inlineStr">
        <is>
          <t>MSFT</t>
        </is>
      </c>
      <c r="D6" s="19" t="n">
        <v>3117</v>
      </c>
      <c r="E6" s="19" t="n">
        <v>3210</v>
      </c>
      <c r="F6" s="19" t="n">
        <v>275</v>
      </c>
      <c r="G6" s="53" t="n">
        <v>0.14</v>
      </c>
      <c r="H6" s="53" t="n">
        <v>0.45</v>
      </c>
      <c r="I6" s="103" t="n">
        <v>11.7</v>
      </c>
      <c r="J6" s="103" t="n">
        <v>26</v>
      </c>
      <c r="K6" s="103" t="n">
        <v>11.3</v>
      </c>
      <c r="L6" s="17" t="inlineStr">
        <is>
          <t>Hyperscaler</t>
        </is>
      </c>
      <c r="M6" s="17" t="inlineStr">
        <is>
          <t>Azure AI ~35% revenue</t>
        </is>
      </c>
    </row>
    <row r="7">
      <c r="B7" s="14" t="inlineStr">
        <is>
          <t>Amazon</t>
        </is>
      </c>
      <c r="C7" s="5" t="inlineStr">
        <is>
          <t>AMZN</t>
        </is>
      </c>
      <c r="D7" s="15" t="n">
        <v>2850</v>
      </c>
      <c r="E7" s="15" t="n">
        <v>3100</v>
      </c>
      <c r="F7" s="15" t="n">
        <v>650</v>
      </c>
      <c r="G7" s="101" t="n">
        <v>0.11</v>
      </c>
      <c r="H7" s="101" t="n">
        <v>0.2</v>
      </c>
      <c r="I7" s="102" t="n">
        <v>4.8</v>
      </c>
      <c r="J7" s="102" t="n">
        <v>24</v>
      </c>
      <c r="K7" s="102" t="n">
        <v>4.4</v>
      </c>
      <c r="L7" s="18" t="inlineStr">
        <is>
          <t>Hyperscaler</t>
        </is>
      </c>
      <c r="M7" s="18" t="inlineStr">
        <is>
          <t>AWS IaaS leader</t>
        </is>
      </c>
    </row>
    <row r="8">
      <c r="B8" s="16" t="inlineStr">
        <is>
          <t>Equinix</t>
        </is>
      </c>
      <c r="C8" s="9" t="inlineStr">
        <is>
          <t>EQIX</t>
        </is>
      </c>
      <c r="D8" s="19" t="n">
        <v>92</v>
      </c>
      <c r="E8" s="19" t="n">
        <v>147</v>
      </c>
      <c r="F8" s="19" t="n">
        <v>9.5</v>
      </c>
      <c r="G8" s="53" t="n">
        <v>0.1</v>
      </c>
      <c r="H8" s="53" t="n">
        <v>0.48</v>
      </c>
      <c r="I8" s="103" t="n">
        <v>15.5</v>
      </c>
      <c r="J8" s="103" t="n">
        <v>32.3</v>
      </c>
      <c r="K8" s="103" t="n">
        <v>9.699999999999999</v>
      </c>
      <c r="L8" s="17" t="inlineStr">
        <is>
          <t>DC REIT</t>
        </is>
      </c>
      <c r="M8" s="17" t="inlineStr">
        <is>
          <t>Colocation; slower growth</t>
        </is>
      </c>
    </row>
    <row r="9">
      <c r="B9" s="14" t="inlineStr">
        <is>
          <t>Digital Realty</t>
        </is>
      </c>
      <c r="C9" s="5" t="inlineStr">
        <is>
          <t>DLR</t>
        </is>
      </c>
      <c r="D9" s="15" t="n">
        <v>57</v>
      </c>
      <c r="E9" s="15" t="n">
        <v>78</v>
      </c>
      <c r="F9" s="15" t="n">
        <v>5.8</v>
      </c>
      <c r="G9" s="101" t="n">
        <v>0.09</v>
      </c>
      <c r="H9" s="101" t="n">
        <v>0.42</v>
      </c>
      <c r="I9" s="102" t="n">
        <v>13.4</v>
      </c>
      <c r="J9" s="102" t="n">
        <v>31.9</v>
      </c>
      <c r="K9" s="102" t="n">
        <v>9.800000000000001</v>
      </c>
      <c r="L9" s="18" t="inlineStr">
        <is>
          <t>DC REIT</t>
        </is>
      </c>
      <c r="M9" s="18" t="inlineStr">
        <is>
          <t>AI capacity expansion</t>
        </is>
      </c>
    </row>
    <row r="10">
      <c r="B10" s="16" t="inlineStr">
        <is>
          <t>Nebius</t>
        </is>
      </c>
      <c r="C10" s="9" t="inlineStr">
        <is>
          <t>NBIS</t>
        </is>
      </c>
      <c r="D10" s="19" t="n">
        <v>16</v>
      </c>
      <c r="E10" s="19" t="n">
        <v>16</v>
      </c>
      <c r="F10" s="19" t="n">
        <v>0.9</v>
      </c>
      <c r="G10" s="53" t="n">
        <v>0.85</v>
      </c>
      <c r="H10" s="53" t="n">
        <v>0.1</v>
      </c>
      <c r="I10" s="103" t="n">
        <v>17.8</v>
      </c>
      <c r="J10" s="17" t="inlineStr">
        <is>
          <t>NM</t>
        </is>
      </c>
      <c r="K10" s="103" t="n">
        <v>17.8</v>
      </c>
      <c r="L10" s="17" t="inlineStr">
        <is>
          <t>Neocloud</t>
        </is>
      </c>
      <c r="M10" s="17" t="inlineStr">
        <is>
          <t>EU GPU cloud; early stage</t>
        </is>
      </c>
    </row>
    <row r="11">
      <c r="B11" s="104" t="inlineStr">
        <is>
          <t>CoreWeave</t>
        </is>
      </c>
      <c r="C11" s="105" t="inlineStr">
        <is>
          <t>CRWV</t>
        </is>
      </c>
      <c r="D11" s="106" t="n">
        <v>58.7</v>
      </c>
      <c r="E11" s="106" t="n">
        <v>81.3</v>
      </c>
      <c r="F11" s="106" t="n">
        <v>12.5</v>
      </c>
      <c r="G11" s="107" t="n">
        <v>1.42</v>
      </c>
      <c r="H11" s="107" t="n">
        <v>0.57</v>
      </c>
      <c r="I11" s="108" t="n">
        <v>6.5</v>
      </c>
      <c r="J11" s="108" t="n">
        <v>11.4</v>
      </c>
      <c r="K11" s="108" t="n">
        <v>4.7</v>
      </c>
      <c r="L11" s="109" t="inlineStr">
        <is>
          <t>AI Hyperscaler</t>
        </is>
      </c>
      <c r="M11" s="109" t="inlineStr">
        <is>
          <t>← Subject (current price)</t>
        </is>
      </c>
    </row>
    <row r="13">
      <c r="B13" s="22" t="inlineStr">
        <is>
          <t>─── PEER STATISTICS (ex. CRWV) ───</t>
        </is>
      </c>
    </row>
    <row r="14">
      <c r="B14" s="3" t="inlineStr">
        <is>
          <t>Statistic</t>
        </is>
      </c>
      <c r="I14" s="3" t="inlineStr">
        <is>
          <t>EV/Rev</t>
        </is>
      </c>
      <c r="J14" s="3" t="inlineStr">
        <is>
          <t>EV/EBITDA</t>
        </is>
      </c>
      <c r="K14" s="3" t="inlineStr">
        <is>
          <t>P/S</t>
        </is>
      </c>
    </row>
    <row r="15">
      <c r="B15" s="26" t="inlineStr">
        <is>
          <t>Median</t>
        </is>
      </c>
      <c r="I15" s="110" t="n">
        <v>15.5</v>
      </c>
      <c r="J15" s="110" t="n">
        <v>31.9</v>
      </c>
      <c r="K15" s="110" t="n">
        <v>10.6</v>
      </c>
    </row>
    <row r="16">
      <c r="B16" s="26" t="inlineStr">
        <is>
          <t>Mean</t>
        </is>
      </c>
      <c r="I16" s="110" t="n">
        <v>17</v>
      </c>
      <c r="J16" s="110" t="n">
        <v>31.1</v>
      </c>
      <c r="K16" s="110" t="n">
        <v>13.3</v>
      </c>
    </row>
    <row r="17">
      <c r="B17" s="26" t="inlineStr">
        <is>
          <t>25th Pctile</t>
        </is>
      </c>
      <c r="I17" s="110" t="n">
        <v>13.4</v>
      </c>
      <c r="J17" s="110" t="n">
        <v>26</v>
      </c>
      <c r="K17" s="110" t="n">
        <v>9.699999999999999</v>
      </c>
    </row>
    <row r="18">
      <c r="B18" s="26" t="inlineStr">
        <is>
          <t>75th Pctile</t>
        </is>
      </c>
      <c r="I18" s="110" t="n">
        <v>17.8</v>
      </c>
      <c r="J18" s="110" t="n">
        <v>32.3</v>
      </c>
      <c r="K18" s="110" t="n">
        <v>17.8</v>
      </c>
    </row>
    <row r="21">
      <c r="B21" s="22" t="inlineStr">
        <is>
          <t>IMPLIED VALUE RANGES FOR CRWV</t>
        </is>
      </c>
    </row>
    <row r="22">
      <c r="B22" s="3" t="inlineStr">
        <is>
          <t>Method</t>
        </is>
      </c>
      <c r="C22" s="3" t="inlineStr">
        <is>
          <t>Multiple</t>
        </is>
      </c>
      <c r="D22" s="3" t="inlineStr">
        <is>
          <t>Metric ($M)</t>
        </is>
      </c>
      <c r="E22" s="3" t="inlineStr">
        <is>
          <t>Implied EV ($M)</t>
        </is>
      </c>
      <c r="F22" s="3" t="inlineStr">
        <is>
          <t>Net Debt ($M)</t>
        </is>
      </c>
      <c r="G22" s="3" t="inlineStr">
        <is>
          <t>Equity ($M)</t>
        </is>
      </c>
      <c r="H22" s="3" t="inlineStr">
        <is>
          <t>Per Share ($)</t>
        </is>
      </c>
    </row>
    <row r="23">
      <c r="B23" s="111" t="inlineStr">
        <is>
          <t>EV/Rev 10x</t>
        </is>
      </c>
      <c r="C23" s="112" t="inlineStr">
        <is>
          <t>10.0x</t>
        </is>
      </c>
      <c r="D23" s="112" t="n">
        <v>12468</v>
      </c>
      <c r="E23" s="113" t="n">
        <v>124680</v>
      </c>
      <c r="F23" s="113" t="n">
        <v>22615</v>
      </c>
      <c r="G23" s="113" t="n">
        <v>102065</v>
      </c>
      <c r="H23" s="113" t="n">
        <v>196</v>
      </c>
      <c r="I23" s="6" t="n"/>
    </row>
    <row r="24">
      <c r="B24" s="114" t="inlineStr">
        <is>
          <t>EV/Rev 12x</t>
        </is>
      </c>
      <c r="C24" s="38" t="inlineStr">
        <is>
          <t>12.0x</t>
        </is>
      </c>
      <c r="D24" s="38" t="n">
        <v>12468</v>
      </c>
      <c r="E24" s="46" t="n">
        <v>149616</v>
      </c>
      <c r="F24" s="46" t="n">
        <v>22615</v>
      </c>
      <c r="G24" s="46" t="n">
        <v>127001</v>
      </c>
      <c r="H24" s="46" t="n">
        <v>244</v>
      </c>
    </row>
    <row r="25">
      <c r="B25" s="111" t="inlineStr">
        <is>
          <t>EV/EBITDA 15x</t>
        </is>
      </c>
      <c r="C25" s="112" t="inlineStr">
        <is>
          <t>15.0x</t>
        </is>
      </c>
      <c r="D25" s="112" t="n">
        <v>7107</v>
      </c>
      <c r="E25" s="113" t="n">
        <v>106605</v>
      </c>
      <c r="F25" s="113" t="n">
        <v>22615</v>
      </c>
      <c r="G25" s="113" t="n">
        <v>83990</v>
      </c>
      <c r="H25" s="113" t="n">
        <v>162</v>
      </c>
      <c r="I25" s="6" t="n"/>
    </row>
    <row r="26">
      <c r="B26" s="114" t="inlineStr">
        <is>
          <t>EV/EBITDA 20x</t>
        </is>
      </c>
      <c r="C26" s="38" t="inlineStr">
        <is>
          <t>20.0x</t>
        </is>
      </c>
      <c r="D26" s="38" t="n">
        <v>7107</v>
      </c>
      <c r="E26" s="46" t="n">
        <v>142140</v>
      </c>
      <c r="F26" s="46" t="n">
        <v>22615</v>
      </c>
      <c r="G26" s="46" t="n">
        <v>119525</v>
      </c>
      <c r="H26" s="46" t="n">
        <v>230</v>
      </c>
    </row>
    <row r="27">
      <c r="B27" s="111" t="inlineStr">
        <is>
          <t>EV/EBITDA 25x</t>
        </is>
      </c>
      <c r="C27" s="112" t="inlineStr">
        <is>
          <t>25.0x</t>
        </is>
      </c>
      <c r="D27" s="112" t="n">
        <v>7107</v>
      </c>
      <c r="E27" s="113" t="n">
        <v>177675</v>
      </c>
      <c r="F27" s="113" t="n">
        <v>22615</v>
      </c>
      <c r="G27" s="113" t="n">
        <v>155060</v>
      </c>
      <c r="H27" s="113" t="n">
        <v>298</v>
      </c>
      <c r="I27" s="6" t="n"/>
    </row>
    <row r="30">
      <c r="B30" s="20" t="inlineStr">
        <is>
          <t>Multiples are approximate NTM estimates (May 2026). CRWV at 6.5x EV/NTM Rev looks cheap vs. AI peers. NM = Not Meaningful.</t>
        </is>
      </c>
    </row>
  </sheetData>
  <mergeCells count="3">
    <mergeCell ref="B13:O13"/>
    <mergeCell ref="B2:O2"/>
    <mergeCell ref="B21:M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B2:G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2">
      <c r="B2" s="21" t="inlineStr">
        <is>
          <t>INVESTMENT THESIS TRACKER — COREWEAVE (CRWV)</t>
        </is>
      </c>
    </row>
    <row r="4">
      <c r="B4" s="115" t="inlineStr">
        <is>
          <t>THESIS PILLARS</t>
        </is>
      </c>
    </row>
    <row r="5">
      <c r="B5" s="3" t="inlineStr">
        <is>
          <t>Pillar</t>
        </is>
      </c>
      <c r="C5" s="3" t="inlineStr">
        <is>
          <t>Description</t>
        </is>
      </c>
      <c r="D5" s="3" t="inlineStr">
        <is>
          <t>KPI / Evidence</t>
        </is>
      </c>
      <c r="E5" s="3" t="inlineStr">
        <is>
          <t>Status</t>
        </is>
      </c>
      <c r="F5" s="3" t="inlineStr">
        <is>
          <t>Conviction</t>
        </is>
      </c>
      <c r="G5" s="3" t="inlineStr">
        <is>
          <t>Last Updated</t>
        </is>
      </c>
    </row>
    <row r="6" ht="38" customHeight="1">
      <c r="B6" s="116" t="inlineStr">
        <is>
          <t>P1: Revenue Visibility</t>
        </is>
      </c>
      <c r="C6" s="116" t="inlineStr">
        <is>
          <t>Massive contracted backlog provides 3-4yr revenue visibility; long-duration hyperscaler deals de-risk near-term demand</t>
        </is>
      </c>
      <c r="D6" s="116" t="inlineStr">
        <is>
          <t>$99.4B backlog (Q1'26); +48% QoQ; Meta $21B + OpenAI $11.2B + Anthropic</t>
        </is>
      </c>
      <c r="E6" s="117" t="inlineStr">
        <is>
          <t>✓ INTACT</t>
        </is>
      </c>
      <c r="F6" s="118" t="inlineStr">
        <is>
          <t>HIGH</t>
        </is>
      </c>
      <c r="G6" s="119" t="inlineStr">
        <is>
          <t>May 2026</t>
        </is>
      </c>
    </row>
    <row r="7" ht="38" customHeight="1">
      <c r="B7" s="116" t="inlineStr">
        <is>
          <t>P2: AI Infrastructure Secular Growth</t>
        </is>
      </c>
      <c r="C7" s="116" t="inlineStr">
        <is>
          <t>Structural shift from CPU to GPU compute; training → inference expansion multiplies TAM; Cloud AI market $122B → $1.7T by 2033 (39% CAGR)</t>
        </is>
      </c>
      <c r="D7" s="116" t="inlineStr">
        <is>
          <t>FY2025 Rev +168%; FY2026 guided +142%; neocloud market +200% YoY in Q2'25</t>
        </is>
      </c>
      <c r="E7" s="117" t="inlineStr">
        <is>
          <t>✓ INTACT</t>
        </is>
      </c>
      <c r="F7" s="118" t="inlineStr">
        <is>
          <t>HIGH</t>
        </is>
      </c>
      <c r="G7" s="119" t="inlineStr">
        <is>
          <t>May 2026</t>
        </is>
      </c>
    </row>
    <row r="8" ht="38" customHeight="1">
      <c r="B8" s="116" t="inlineStr">
        <is>
          <t>P3: NVIDIA Partnership Moat</t>
        </is>
      </c>
      <c r="C8" s="116" t="inlineStr">
        <is>
          <t>Priority access to latest Blackwell GPUs (GB200 NVL72, RTX PRO 6000); NVDA equity investor; only Platinum ClusterMAX rated cloud</t>
        </is>
      </c>
      <c r="D8" s="116" t="inlineStr">
        <is>
          <t>NVDA $2B equity investment Q1'26; first NVIDIA Exemplar Cloud for inference</t>
        </is>
      </c>
      <c r="E8" s="117" t="inlineStr">
        <is>
          <t>✓ INTACT</t>
        </is>
      </c>
      <c r="F8" s="118" t="inlineStr">
        <is>
          <t>HIGH</t>
        </is>
      </c>
      <c r="G8" s="119" t="inlineStr">
        <is>
          <t>May 2026</t>
        </is>
      </c>
    </row>
    <row r="9" ht="38" customHeight="1">
      <c r="B9" s="116" t="inlineStr">
        <is>
          <t>P4: EBITDA Scale Economics</t>
        </is>
      </c>
      <c r="C9" s="116" t="inlineStr">
        <is>
          <t>60%+ Adj. EBITDA margins demonstrate infrastructure asset model generates strong cash flows at scale; improving with revenue growth</t>
        </is>
      </c>
      <c r="D9" s="116" t="inlineStr">
        <is>
          <t>Q1'26 Adj. EBITDA $1.16B (56%); FY2025 $3.09B (60%); target ~65% by FY2030</t>
        </is>
      </c>
      <c r="E9" s="117" t="inlineStr">
        <is>
          <t>✓ INTACT</t>
        </is>
      </c>
      <c r="F9" s="120" t="inlineStr">
        <is>
          <t>MEDIUM</t>
        </is>
      </c>
      <c r="G9" s="119" t="inlineStr">
        <is>
          <t>May 2026</t>
        </is>
      </c>
    </row>
    <row r="10" ht="38" customHeight="1">
      <c r="B10" s="116" t="inlineStr">
        <is>
          <t>P5: Inference Market Leadership</t>
        </is>
      </c>
      <c r="C10" s="116" t="inlineStr">
        <is>
          <t>AI transitioning from training to inference; CoreWeave #1 inference speed for Kimi K2.6; Dedicated Inference product launched</t>
        </is>
      </c>
      <c r="D10" s="116" t="inlineStr">
        <is>
          <t>#1 Kimi K2.6 inference benchmark; NVIDIA Exemplar Cloud for inference; new "Dedicated Inference" product</t>
        </is>
      </c>
      <c r="E10" s="117" t="inlineStr">
        <is>
          <t>▲ EMERGING</t>
        </is>
      </c>
      <c r="F10" s="120" t="inlineStr">
        <is>
          <t>MEDIUM</t>
        </is>
      </c>
      <c r="G10" s="119" t="inlineStr">
        <is>
          <t>May 2026</t>
        </is>
      </c>
    </row>
    <row r="11" ht="38" customHeight="1">
      <c r="B11" s="116" t="inlineStr">
        <is>
          <t>P6: Customer Diversification</t>
        </is>
      </c>
      <c r="C11" s="116" t="inlineStr">
        <is>
          <t>Reducing concentration risk: Microsoft was 62% of 2024 revenue; Meta + Anthropic expand hyperscaler base</t>
        </is>
      </c>
      <c r="D11" s="116" t="inlineStr">
        <is>
          <t>2024: MSFT 62%; 2025: more diversified; Q1'26: Meta $21B deal, Anthropic multi-year</t>
        </is>
      </c>
      <c r="E11" s="117" t="inlineStr">
        <is>
          <t>▲ IN PROGRESS</t>
        </is>
      </c>
      <c r="F11" s="120" t="inlineStr">
        <is>
          <t>MEDIUM</t>
        </is>
      </c>
      <c r="G11" s="119" t="inlineStr">
        <is>
          <t>May 2026</t>
        </is>
      </c>
    </row>
    <row r="14">
      <c r="B14" s="121" t="inlineStr">
        <is>
          <t>KEY RISKS</t>
        </is>
      </c>
    </row>
    <row r="15">
      <c r="B15" s="3" t="inlineStr">
        <is>
          <t>Risk</t>
        </is>
      </c>
      <c r="C15" s="3" t="inlineStr">
        <is>
          <t>Description</t>
        </is>
      </c>
      <c r="D15" s="3" t="inlineStr">
        <is>
          <t>Mitigant</t>
        </is>
      </c>
      <c r="E15" s="3" t="inlineStr">
        <is>
          <t>Probability</t>
        </is>
      </c>
      <c r="F15" s="3" t="inlineStr">
        <is>
          <t>Impact</t>
        </is>
      </c>
      <c r="G15" s="3" t="inlineStr">
        <is>
          <t>Severity</t>
        </is>
      </c>
    </row>
    <row r="16" ht="42" customHeight="1">
      <c r="B16" s="122" t="inlineStr">
        <is>
          <t>R1: Leverage / Refinancing Risk</t>
        </is>
      </c>
      <c r="C16" s="122" t="inlineStr">
        <is>
          <t>~$25B outstanding debt + $31-35B 2026 capex; rising rates or credit tightening could force dilutive equity raise; covenants on asset-backed facilities</t>
        </is>
      </c>
      <c r="D16" s="122" t="inlineStr">
        <is>
          <t>Non-recourse DDTL 4.0 ($8.5B); IG-rated facilities; $2B NVDA equity; $99.4B backlog cash cover</t>
        </is>
      </c>
      <c r="E16" s="123" t="inlineStr">
        <is>
          <t>MEDIUM</t>
        </is>
      </c>
      <c r="F16" s="123" t="inlineStr">
        <is>
          <t>VERY HIGH</t>
        </is>
      </c>
      <c r="G16" s="124" t="inlineStr">
        <is>
          <t>⚠ HIGH</t>
        </is>
      </c>
    </row>
    <row r="17" ht="42" customHeight="1">
      <c r="B17" s="122" t="inlineStr">
        <is>
          <t>R2: Customer Concentration</t>
        </is>
      </c>
      <c r="C17" s="122" t="inlineStr">
        <is>
          <t>MSFT was 62% of 2024 revenue; top 2 customers = 77%; any non-renewal would severely impact near-term numbers</t>
        </is>
      </c>
      <c r="D17" s="122" t="inlineStr">
        <is>
          <t>Backlog contracts lock in demand; growing Meta/Anthropic/Perplexity base; RPO structure</t>
        </is>
      </c>
      <c r="E17" s="123" t="inlineStr">
        <is>
          <t>LOW</t>
        </is>
      </c>
      <c r="F17" s="123" t="inlineStr">
        <is>
          <t>VERY HIGH</t>
        </is>
      </c>
      <c r="G17" s="124" t="inlineStr">
        <is>
          <t>⚠ HIGH</t>
        </is>
      </c>
    </row>
    <row r="18" ht="42" customHeight="1">
      <c r="B18" s="122" t="inlineStr">
        <is>
          <t>R3: Hyperscaler In-House Build</t>
        </is>
      </c>
      <c r="C18" s="122" t="inlineStr">
        <is>
          <t>AWS/Azure/GCP could build competing GPU clouds at scale; Microsoft (existing customer) could partially internalize</t>
        </is>
      </c>
      <c r="D18" s="122" t="inlineStr">
        <is>
          <t>Hyperscalers lack CoreWeave speed-to-deploy; GPU priority access moat; incremental co-investment model</t>
        </is>
      </c>
      <c r="E18" s="123" t="inlineStr">
        <is>
          <t>MEDIUM</t>
        </is>
      </c>
      <c r="F18" s="123" t="inlineStr">
        <is>
          <t>HIGH</t>
        </is>
      </c>
      <c r="G18" s="125" t="inlineStr">
        <is>
          <t>⚠ MEDIUM</t>
        </is>
      </c>
    </row>
    <row r="19" ht="42" customHeight="1">
      <c r="B19" s="122" t="inlineStr">
        <is>
          <t>R4: NVIDIA GPU Supply / Pricing</t>
        </is>
      </c>
      <c r="C19" s="122" t="inlineStr">
        <is>
          <t>Single-source GPU dependency on NVIDIA; export controls, allocation shifts, or price increases could compress margins</t>
        </is>
      </c>
      <c r="D19" s="122" t="inlineStr">
        <is>
          <t>NVDA equity investor; strategic partnership; CoreWeave gets priority Blackwell allocation</t>
        </is>
      </c>
      <c r="E19" s="123" t="inlineStr">
        <is>
          <t>LOW</t>
        </is>
      </c>
      <c r="F19" s="123" t="inlineStr">
        <is>
          <t>HIGH</t>
        </is>
      </c>
      <c r="G19" s="120" t="inlineStr">
        <is>
          <t>▲ MEDIUM</t>
        </is>
      </c>
    </row>
    <row r="20" ht="42" customHeight="1">
      <c r="B20" s="122" t="inlineStr">
        <is>
          <t>R5: Technology Obsolescence</t>
        </is>
      </c>
      <c r="C20" s="122" t="inlineStr">
        <is>
          <t>GPU efficiency gains (DeepSeek R1 type events) could reduce compute demand per model; ASICs/custom silicon could displace GPUs</t>
        </is>
      </c>
      <c r="D20" s="122" t="inlineStr">
        <is>
          <t>Model complexity continues growing (GPT-4→5); inference demand expands; CoreWeave agnostic to GPU generations</t>
        </is>
      </c>
      <c r="E20" s="123" t="inlineStr">
        <is>
          <t>MEDIUM</t>
        </is>
      </c>
      <c r="F20" s="123" t="inlineStr">
        <is>
          <t>HIGH</t>
        </is>
      </c>
      <c r="G20" s="120" t="inlineStr">
        <is>
          <t>▲ MEDIUM</t>
        </is>
      </c>
    </row>
    <row r="21" ht="42" customHeight="1">
      <c r="B21" s="122" t="inlineStr">
        <is>
          <t>R6: Execution / Management</t>
        </is>
      </c>
      <c r="C21" s="122" t="inlineStr">
        <is>
          <t>Company grew from ~$229M (2023) to $5.1B (2025) in 2 years; organizational strain; reported material weaknesses in IPO filing</t>
        </is>
      </c>
      <c r="D21" s="122" t="inlineStr">
        <is>
          <t>DDTL structure shows institutional lender confidence; NVIDIA $2B vote of confidence; strong CFO oversight</t>
        </is>
      </c>
      <c r="E21" s="123" t="inlineStr">
        <is>
          <t>LOW</t>
        </is>
      </c>
      <c r="F21" s="123" t="inlineStr">
        <is>
          <t>MEDIUM</t>
        </is>
      </c>
      <c r="G21" s="118" t="inlineStr">
        <is>
          <t>▲ LOW</t>
        </is>
      </c>
    </row>
    <row r="24">
      <c r="B24" s="126" t="inlineStr">
        <is>
          <t>NEAR-TERM CATALYSTS</t>
        </is>
      </c>
    </row>
    <row r="25">
      <c r="B25" s="3" t="inlineStr">
        <is>
          <t>Catalyst</t>
        </is>
      </c>
      <c r="C25" s="3" t="inlineStr">
        <is>
          <t>Description</t>
        </is>
      </c>
      <c r="D25" s="3" t="inlineStr">
        <is>
          <t>Expected Timing</t>
        </is>
      </c>
      <c r="E25" s="3" t="inlineStr">
        <is>
          <t>Upside Impact</t>
        </is>
      </c>
      <c r="F25" s="3" t="inlineStr">
        <is>
          <t>Probability</t>
        </is>
      </c>
      <c r="G25" s="3" t="inlineStr">
        <is>
          <t>Type</t>
        </is>
      </c>
    </row>
    <row r="26" ht="32" customHeight="1">
      <c r="B26" s="127" t="inlineStr">
        <is>
          <t>Q2'26 Earnings</t>
        </is>
      </c>
      <c r="C26" s="127" t="inlineStr">
        <is>
          <t>Revenue guidance midpoint ($2.53B); beat on revenue + EBITDA margin could re-rate stock</t>
        </is>
      </c>
      <c r="D26" s="127" t="inlineStr">
        <is>
          <t>Aug 2026</t>
        </is>
      </c>
      <c r="E26" s="128" t="inlineStr">
        <is>
          <t>HIGH</t>
        </is>
      </c>
      <c r="F26" s="128" t="inlineStr">
        <is>
          <t>MEDIUM</t>
        </is>
      </c>
      <c r="G26" s="128" t="inlineStr">
        <is>
          <t>Near-term</t>
        </is>
      </c>
    </row>
    <row r="27" ht="32" customHeight="1">
      <c r="B27" s="122" t="inlineStr">
        <is>
          <t>FY2026 Revenue Beat</t>
        </is>
      </c>
      <c r="C27" s="122" t="inlineStr">
        <is>
          <t>Management guided $12-13B; beat toward $13B+ would confirm accelerating inference cycle</t>
        </is>
      </c>
      <c r="D27" s="122" t="inlineStr">
        <is>
          <t>Q3-Q4 2026</t>
        </is>
      </c>
      <c r="E27" s="123" t="inlineStr">
        <is>
          <t>VERY HIGH</t>
        </is>
      </c>
      <c r="F27" s="123" t="inlineStr">
        <is>
          <t>MEDIUM</t>
        </is>
      </c>
      <c r="G27" s="123" t="inlineStr">
        <is>
          <t>Medium-term</t>
        </is>
      </c>
    </row>
    <row r="28" ht="32" customHeight="1">
      <c r="B28" s="127" t="inlineStr">
        <is>
          <t>New Hyperscaler Contract</t>
        </is>
      </c>
      <c r="C28" s="127" t="inlineStr">
        <is>
          <t>Additional $5B+ deal (Apple, Google, Meta expansion) would push backlog &gt;$110B</t>
        </is>
      </c>
      <c r="D28" s="127" t="inlineStr">
        <is>
          <t>H2 2026</t>
        </is>
      </c>
      <c r="E28" s="128" t="inlineStr">
        <is>
          <t>HIGH</t>
        </is>
      </c>
      <c r="F28" s="128" t="inlineStr">
        <is>
          <t>MEDIUM</t>
        </is>
      </c>
      <c r="G28" s="128" t="inlineStr">
        <is>
          <t>Medium-term</t>
        </is>
      </c>
    </row>
    <row r="29" ht="32" customHeight="1">
      <c r="B29" s="122" t="inlineStr">
        <is>
          <t>S&amp;P 500 Inclusion</t>
        </is>
      </c>
      <c r="C29" s="122" t="inlineStr">
        <is>
          <t>CRWV qualifies for S&amp;P 500 consideration; index inclusion drives passive buying (~$1-2B)</t>
        </is>
      </c>
      <c r="D29" s="122" t="inlineStr">
        <is>
          <t>Q3-Q4 2026</t>
        </is>
      </c>
      <c r="E29" s="123" t="inlineStr">
        <is>
          <t>MEDIUM</t>
        </is>
      </c>
      <c r="F29" s="123" t="inlineStr">
        <is>
          <t>MEDIUM</t>
        </is>
      </c>
      <c r="G29" s="123" t="inlineStr">
        <is>
          <t>Near-term</t>
        </is>
      </c>
    </row>
    <row r="30" ht="32" customHeight="1">
      <c r="B30" s="127" t="inlineStr">
        <is>
          <t>Debt Refinancing at Lower Rates</t>
        </is>
      </c>
      <c r="C30" s="127" t="inlineStr">
        <is>
          <t>If Fed cuts rates, refinancing $10B+ of floating-rate debt could add $300-500M to free cash flow</t>
        </is>
      </c>
      <c r="D30" s="127" t="inlineStr">
        <is>
          <t>H2 2026-2027</t>
        </is>
      </c>
      <c r="E30" s="128" t="inlineStr">
        <is>
          <t>MEDIUM</t>
        </is>
      </c>
      <c r="F30" s="128" t="inlineStr">
        <is>
          <t>LOW</t>
        </is>
      </c>
      <c r="G30" s="128" t="inlineStr">
        <is>
          <t>Medium-term</t>
        </is>
      </c>
    </row>
    <row r="31" ht="32" customHeight="1">
      <c r="B31" s="122" t="inlineStr">
        <is>
          <t>IPO of NVIDIA Stake</t>
        </is>
      </c>
      <c r="C31" s="122" t="inlineStr">
        <is>
          <t>NVDA holding $2B+ in CRWV stock; any disclosure of relationship deepening is positive signal</t>
        </is>
      </c>
      <c r="D31" s="122" t="inlineStr">
        <is>
          <t>Ongoing</t>
        </is>
      </c>
      <c r="E31" s="123" t="inlineStr">
        <is>
          <t>MEDIUM</t>
        </is>
      </c>
      <c r="F31" s="123" t="inlineStr">
        <is>
          <t>LOW</t>
        </is>
      </c>
      <c r="G31" s="123" t="inlineStr">
        <is>
          <t>Ongoing</t>
        </is>
      </c>
    </row>
    <row r="32" ht="32" customHeight="1">
      <c r="B32" s="127" t="inlineStr">
        <is>
          <t>Inference Pricing Power</t>
        </is>
      </c>
      <c r="C32" s="127" t="inlineStr">
        <is>
          <t>As AI moves to production inference, CoreWeave can raise prices vs. one-time training workloads</t>
        </is>
      </c>
      <c r="D32" s="127" t="inlineStr">
        <is>
          <t>2027+</t>
        </is>
      </c>
      <c r="E32" s="128" t="inlineStr">
        <is>
          <t>VERY HIGH</t>
        </is>
      </c>
      <c r="F32" s="128" t="inlineStr">
        <is>
          <t>MEDIUM</t>
        </is>
      </c>
      <c r="G32" s="128" t="inlineStr">
        <is>
          <t>Long-term</t>
        </is>
      </c>
    </row>
  </sheetData>
  <mergeCells count="4">
    <mergeCell ref="B24:G24"/>
    <mergeCell ref="B2:G2"/>
    <mergeCell ref="B4:G4"/>
    <mergeCell ref="B14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7B00"/>
    <outlinePr summaryBelow="1" summaryRight="1"/>
    <pageSetUpPr/>
  </sheetPr>
  <dimension ref="B2:F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2">
      <c r="B2" s="21" t="inlineStr">
        <is>
          <t>DCF MODEL ASSUMPTIONS — COMPLETE LIST FOR COREWEAVE (CRWV)</t>
        </is>
      </c>
    </row>
    <row r="3">
      <c r="B3" s="129" t="inlineStr">
        <is>
          <t>Yellow cells = key assumption with high sensitivity to model output. Blue text = hardcoded input. Black text = derived/formula.</t>
        </is>
      </c>
    </row>
    <row r="5">
      <c r="B5" s="3" t="inlineStr">
        <is>
          <t>Assumption</t>
        </is>
      </c>
      <c r="C5" s="3" t="inlineStr">
        <is>
          <t>Bear Case</t>
        </is>
      </c>
      <c r="D5" s="3" t="inlineStr">
        <is>
          <t>Base Case</t>
        </is>
      </c>
      <c r="E5" s="3" t="inlineStr">
        <is>
          <t>Bull Case</t>
        </is>
      </c>
      <c r="F5" s="3" t="inlineStr">
        <is>
          <t>Rationale / Source</t>
        </is>
      </c>
    </row>
    <row r="6">
      <c r="B6" s="22" t="inlineStr">
        <is>
          <t>A. REVENUE GROWTH ASSUMPTIONS</t>
        </is>
      </c>
    </row>
    <row r="7" ht="22" customHeight="1">
      <c r="B7" s="130" t="inlineStr">
        <is>
          <t>FY2026E Revenue Growth (%)</t>
        </is>
      </c>
      <c r="C7" s="131" t="inlineStr">
        <is>
          <t>125%</t>
        </is>
      </c>
      <c r="D7" s="131" t="inlineStr">
        <is>
          <t>143%</t>
        </is>
      </c>
      <c r="E7" s="131" t="inlineStr">
        <is>
          <t>155%</t>
        </is>
      </c>
      <c r="F7" s="132" t="inlineStr">
        <is>
          <t>Co. guided $12-13B; Q1'26 = $2.08B; midpoint $12.5B = 143% YoY</t>
        </is>
      </c>
    </row>
    <row r="8" ht="22" customHeight="1">
      <c r="B8" s="133" t="inlineStr">
        <is>
          <t>FY2027E Revenue Growth (%)</t>
        </is>
      </c>
      <c r="C8" s="134" t="inlineStr">
        <is>
          <t>55%</t>
        </is>
      </c>
      <c r="D8" s="134" t="inlineStr">
        <is>
          <t>70%</t>
        </is>
      </c>
      <c r="E8" s="134" t="inlineStr">
        <is>
          <t>80%</t>
        </is>
      </c>
      <c r="F8" s="135" t="inlineStr">
        <is>
          <t>Gradual deceleration as base effect grows; inference demand ramp</t>
        </is>
      </c>
    </row>
    <row r="9" ht="22" customHeight="1">
      <c r="B9" s="76" t="inlineStr">
        <is>
          <t>FY2028E Revenue Growth (%)</t>
        </is>
      </c>
      <c r="C9" s="136" t="inlineStr">
        <is>
          <t>32%</t>
        </is>
      </c>
      <c r="D9" s="136" t="inlineStr">
        <is>
          <t>45%</t>
        </is>
      </c>
      <c r="E9" s="136" t="inlineStr">
        <is>
          <t>55%</t>
        </is>
      </c>
      <c r="F9" s="20" t="inlineStr">
        <is>
          <t>Industry AI cloud CAGR 39%; CoreWeave above-market growth expected</t>
        </is>
      </c>
    </row>
    <row r="10" ht="22" customHeight="1">
      <c r="B10" s="133" t="inlineStr">
        <is>
          <t>FY2029E Revenue Growth (%)</t>
        </is>
      </c>
      <c r="C10" s="134" t="inlineStr">
        <is>
          <t>20%</t>
        </is>
      </c>
      <c r="D10" s="134" t="inlineStr">
        <is>
          <t>30%</t>
        </is>
      </c>
      <c r="E10" s="134" t="inlineStr">
        <is>
          <t>38%</t>
        </is>
      </c>
      <c r="F10" s="135" t="inlineStr">
        <is>
          <t>Market share stabilization; $40B+ revenue requires ongoing contract wins</t>
        </is>
      </c>
    </row>
    <row r="11" ht="22" customHeight="1">
      <c r="B11" s="76" t="inlineStr">
        <is>
          <t>FY2030E Revenue Growth (%)</t>
        </is>
      </c>
      <c r="C11" s="136" t="inlineStr">
        <is>
          <t>14%</t>
        </is>
      </c>
      <c r="D11" s="136" t="inlineStr">
        <is>
          <t>22%</t>
        </is>
      </c>
      <c r="E11" s="136" t="inlineStr">
        <is>
          <t>28%</t>
        </is>
      </c>
      <c r="F11" s="20" t="inlineStr">
        <is>
          <t>Target: $49B (base); Synergy neocloud $180B market by 2030 = ~27% share</t>
        </is>
      </c>
    </row>
    <row r="12" ht="22" customHeight="1">
      <c r="B12" s="133" t="inlineStr">
        <is>
          <t>Starting Revenue Base ($M)</t>
        </is>
      </c>
      <c r="C12" s="134" t="inlineStr">
        <is>
          <t>—</t>
        </is>
      </c>
      <c r="D12" s="134" t="inlineStr">
        <is>
          <t>5,131</t>
        </is>
      </c>
      <c r="E12" s="134" t="inlineStr">
        <is>
          <t>—</t>
        </is>
      </c>
      <c r="F12" s="135" t="inlineStr">
        <is>
          <t>FY2025A from company annual results Feb 26, 2026</t>
        </is>
      </c>
    </row>
    <row r="14">
      <c r="B14" s="22" t="inlineStr">
        <is>
          <t>B. MARGIN ASSUMPTIONS</t>
        </is>
      </c>
    </row>
    <row r="15" ht="22" customHeight="1">
      <c r="B15" s="76" t="inlineStr">
        <is>
          <t>FY2026E Gross Margin (%)</t>
        </is>
      </c>
      <c r="C15" s="136" t="inlineStr">
        <is>
          <t>68%</t>
        </is>
      </c>
      <c r="D15" s="136" t="inlineStr">
        <is>
          <t>71%</t>
        </is>
      </c>
      <c r="E15" s="136" t="inlineStr">
        <is>
          <t>72%</t>
        </is>
      </c>
      <c r="F15" s="20" t="inlineStr">
        <is>
          <t>Q1'26 GAAP gross margin ~65.5%; adjusted improving; mix shift toward software</t>
        </is>
      </c>
    </row>
    <row r="16" ht="22" customHeight="1">
      <c r="B16" s="133" t="inlineStr">
        <is>
          <t>FY2030E Gross Margin (%)</t>
        </is>
      </c>
      <c r="C16" s="134" t="inlineStr">
        <is>
          <t>71%</t>
        </is>
      </c>
      <c r="D16" s="134" t="inlineStr">
        <is>
          <t>75%</t>
        </is>
      </c>
      <c r="E16" s="134" t="inlineStr">
        <is>
          <t>78%</t>
        </is>
      </c>
      <c r="F16" s="135" t="inlineStr">
        <is>
          <t>Long-run target: scale benefits, software mix, pricing power on inference</t>
        </is>
      </c>
    </row>
    <row r="17" ht="22" customHeight="1">
      <c r="B17" s="76" t="inlineStr">
        <is>
          <t>FY2026E Adj. EBITDA Margin (%)</t>
        </is>
      </c>
      <c r="C17" s="136" t="inlineStr">
        <is>
          <t>52%</t>
        </is>
      </c>
      <c r="D17" s="136" t="inlineStr">
        <is>
          <t>57%</t>
        </is>
      </c>
      <c r="E17" s="136" t="inlineStr">
        <is>
          <t>59%</t>
        </is>
      </c>
      <c r="F17" s="20" t="inlineStr">
        <is>
          <t>Q1'26 = 56%; full year slightly below due to SG&amp;A ramp and S&amp;M</t>
        </is>
      </c>
    </row>
    <row r="18" ht="22" customHeight="1">
      <c r="B18" s="130" t="inlineStr">
        <is>
          <t>FY2030E Adj. EBITDA Margin (%)</t>
        </is>
      </c>
      <c r="C18" s="131" t="inlineStr">
        <is>
          <t>59%</t>
        </is>
      </c>
      <c r="D18" s="131" t="inlineStr">
        <is>
          <t>65%</t>
        </is>
      </c>
      <c r="E18" s="131" t="inlineStr">
        <is>
          <t>68%</t>
        </is>
      </c>
      <c r="F18" s="132" t="inlineStr">
        <is>
          <t>Operating leverage as SG&amp;A/rev declines; D&amp;A remains high</t>
        </is>
      </c>
    </row>
    <row r="19" ht="22" customHeight="1">
      <c r="B19" s="76" t="inlineStr">
        <is>
          <t>SG&amp;A as % Revenue (FY2026E)</t>
        </is>
      </c>
      <c r="C19" s="136" t="inlineStr">
        <is>
          <t>—</t>
        </is>
      </c>
      <c r="D19" s="136" t="inlineStr">
        <is>
          <t>~11%</t>
        </is>
      </c>
      <c r="E19" s="136" t="inlineStr">
        <is>
          <t>—</t>
        </is>
      </c>
      <c r="F19" s="20" t="inlineStr">
        <is>
          <t>Q1'26: S&amp;M $69M + G&amp;A $164M = $233M on $2,078M = 11.2%</t>
        </is>
      </c>
    </row>
    <row r="20" ht="22" customHeight="1">
      <c r="B20" s="133" t="inlineStr">
        <is>
          <t>Tech &amp; Infra as % Revenue</t>
        </is>
      </c>
      <c r="C20" s="134" t="inlineStr">
        <is>
          <t>—</t>
        </is>
      </c>
      <c r="D20" s="134" t="inlineStr">
        <is>
          <t>~38%</t>
        </is>
      </c>
      <c r="E20" s="134" t="inlineStr">
        <is>
          <t>—</t>
        </is>
      </c>
      <c r="F20" s="135" t="inlineStr">
        <is>
          <t>Q1'26: $1,273M on $2,078M = 61.3%; includes OpEx for GPU fleet</t>
        </is>
      </c>
    </row>
    <row r="22">
      <c r="B22" s="22" t="inlineStr">
        <is>
          <t>C. DEPRECIATION &amp; AMORTIZATION</t>
        </is>
      </c>
    </row>
    <row r="23" ht="22" customHeight="1">
      <c r="B23" s="76" t="inlineStr">
        <is>
          <t>D&amp;A as % Revenue (FY2026E)</t>
        </is>
      </c>
      <c r="C23" s="136" t="inlineStr">
        <is>
          <t>—</t>
        </is>
      </c>
      <c r="D23" s="136" t="inlineStr">
        <is>
          <t>26%</t>
        </is>
      </c>
      <c r="E23" s="136" t="inlineStr">
        <is>
          <t>—</t>
        </is>
      </c>
      <c r="F23" s="20" t="inlineStr">
        <is>
          <t>Q1'26 D&amp;A $1,147M on $2,078M = 55.2% (annualized ~$4.6B vs. $12.5B rev = 37%)</t>
        </is>
      </c>
    </row>
    <row r="24" ht="22" customHeight="1">
      <c r="B24" s="133" t="inlineStr">
        <is>
          <t>D&amp;A as % Revenue (FY2027E-30E)</t>
        </is>
      </c>
      <c r="C24" s="134" t="inlineStr">
        <is>
          <t>—</t>
        </is>
      </c>
      <c r="D24" s="134" t="inlineStr">
        <is>
          <t>26-23%</t>
        </is>
      </c>
      <c r="E24" s="134" t="inlineStr">
        <is>
          <t>—</t>
        </is>
      </c>
      <c r="F24" s="135" t="inlineStr">
        <is>
          <t>Declining as revenue grows faster than asset base; GPU life ~5 years</t>
        </is>
      </c>
    </row>
    <row r="25" ht="22" customHeight="1">
      <c r="B25" s="76" t="inlineStr">
        <is>
          <t>Average GPU Life (Years)</t>
        </is>
      </c>
      <c r="C25" s="136" t="inlineStr">
        <is>
          <t>—</t>
        </is>
      </c>
      <c r="D25" s="136" t="inlineStr">
        <is>
          <t>5</t>
        </is>
      </c>
      <c r="E25" s="136" t="inlineStr">
        <is>
          <t>—</t>
        </is>
      </c>
      <c r="F25" s="20" t="inlineStr">
        <is>
          <t>NVIDIA H100/A100 typical useful life = 4-6 years; CoreWeave policy ~5yr</t>
        </is>
      </c>
    </row>
    <row r="26" ht="22" customHeight="1">
      <c r="B26" s="133" t="inlineStr">
        <is>
          <t>D&amp;A Methodology</t>
        </is>
      </c>
      <c r="C26" s="134" t="inlineStr">
        <is>
          <t>—</t>
        </is>
      </c>
      <c r="D26" s="134" t="inlineStr">
        <is>
          <t>Straight-line</t>
        </is>
      </c>
      <c r="E26" s="134" t="inlineStr">
        <is>
          <t>—</t>
        </is>
      </c>
      <c r="F26" s="135" t="inlineStr">
        <is>
          <t>Consistent with CoreWeave accounting policy in SEC filings</t>
        </is>
      </c>
    </row>
    <row r="28">
      <c r="B28" s="22" t="inlineStr">
        <is>
          <t>D. CAPITAL EXPENDITURE ASSUMPTIONS</t>
        </is>
      </c>
    </row>
    <row r="29" ht="22" customHeight="1">
      <c r="B29" s="130" t="inlineStr">
        <is>
          <t>FY2026E CapEx ($B)</t>
        </is>
      </c>
      <c r="C29" s="131" t="inlineStr">
        <is>
          <t>31</t>
        </is>
      </c>
      <c r="D29" s="131" t="inlineStr">
        <is>
          <t>32</t>
        </is>
      </c>
      <c r="E29" s="131" t="inlineStr">
        <is>
          <t>35</t>
        </is>
      </c>
      <c r="F29" s="132" t="inlineStr">
        <is>
          <t>Company guided $31-35B (raised lower end from $30B in Q1'26 call)</t>
        </is>
      </c>
    </row>
    <row r="30" ht="22" customHeight="1">
      <c r="B30" s="133" t="inlineStr">
        <is>
          <t>FY2026E CapEx / Revenue (x)</t>
        </is>
      </c>
      <c r="C30" s="134" t="inlineStr">
        <is>
          <t>—</t>
        </is>
      </c>
      <c r="D30" s="134" t="inlineStr">
        <is>
          <t>~2.56x</t>
        </is>
      </c>
      <c r="E30" s="134" t="inlineStr">
        <is>
          <t>—</t>
        </is>
      </c>
      <c r="F30" s="135" t="inlineStr">
        <is>
          <t>Extraordinary investment phase; 1GW active power → 8.7GW target by 2030</t>
        </is>
      </c>
    </row>
    <row r="31" ht="22" customHeight="1">
      <c r="B31" s="76" t="inlineStr">
        <is>
          <t>FY2027E CapEx / Revenue (x)</t>
        </is>
      </c>
      <c r="C31" s="136" t="inlineStr">
        <is>
          <t>—</t>
        </is>
      </c>
      <c r="D31" s="136" t="inlineStr">
        <is>
          <t>~1.80x</t>
        </is>
      </c>
      <c r="E31" s="136" t="inlineStr">
        <is>
          <t>—</t>
        </is>
      </c>
      <c r="F31" s="20" t="inlineStr">
        <is>
          <t>Capex moderates as power build-out reaches critical mass</t>
        </is>
      </c>
    </row>
    <row r="32" ht="22" customHeight="1">
      <c r="B32" s="133" t="inlineStr">
        <is>
          <t>FY2030E CapEx / Revenue (x)</t>
        </is>
      </c>
      <c r="C32" s="134" t="inlineStr">
        <is>
          <t>—</t>
        </is>
      </c>
      <c r="D32" s="134" t="inlineStr">
        <is>
          <t>~0.85x</t>
        </is>
      </c>
      <c r="E32" s="134" t="inlineStr">
        <is>
          <t>—</t>
        </is>
      </c>
      <c r="F32" s="135" t="inlineStr">
        <is>
          <t>Long-run maintenance + modest growth; below data center REIT levels</t>
        </is>
      </c>
    </row>
    <row r="33" ht="22" customHeight="1">
      <c r="B33" s="76" t="inlineStr">
        <is>
          <t>Contracted Power (GW) by 2030</t>
        </is>
      </c>
      <c r="C33" s="136" t="inlineStr">
        <is>
          <t>—</t>
        </is>
      </c>
      <c r="D33" s="136" t="inlineStr">
        <is>
          <t>8+</t>
        </is>
      </c>
      <c r="E33" s="136" t="inlineStr">
        <is>
          <t>—</t>
        </is>
      </c>
      <c r="F33" s="20" t="inlineStr">
        <is>
          <t>Management target &gt;8GW; needed to support $30B+ annualized revenue</t>
        </is>
      </c>
    </row>
    <row r="34" ht="22" customHeight="1">
      <c r="B34" s="133" t="inlineStr">
        <is>
          <t>Active Power (GW) by 2026 YE</t>
        </is>
      </c>
      <c r="C34" s="134" t="inlineStr">
        <is>
          <t>—</t>
        </is>
      </c>
      <c r="D34" s="134" t="inlineStr">
        <is>
          <t>~4.7</t>
        </is>
      </c>
      <c r="E34" s="134" t="inlineStr">
        <is>
          <t>—</t>
        </is>
      </c>
      <c r="F34" s="135" t="inlineStr">
        <is>
          <t>Company guided; Q1'26 surpassed 1GW; 4.7GW target reaffirmed</t>
        </is>
      </c>
    </row>
    <row r="36">
      <c r="B36" s="22" t="inlineStr">
        <is>
          <t>E. WACC COMPONENTS</t>
        </is>
      </c>
    </row>
    <row r="37" ht="22" customHeight="1">
      <c r="B37" s="76" t="inlineStr">
        <is>
          <t>Risk-Free Rate (10Y UST)</t>
        </is>
      </c>
      <c r="C37" s="136" t="inlineStr">
        <is>
          <t>—</t>
        </is>
      </c>
      <c r="D37" s="136" t="inlineStr">
        <is>
          <t>4.57%</t>
        </is>
      </c>
      <c r="E37" s="136" t="inlineStr">
        <is>
          <t>—</t>
        </is>
      </c>
      <c r="F37" s="20" t="inlineStr">
        <is>
          <t>FRED DGS10 as of May 20, 2026</t>
        </is>
      </c>
    </row>
    <row r="38" ht="22" customHeight="1">
      <c r="B38" s="133" t="inlineStr">
        <is>
          <t>Equity Risk Premium (ERP)</t>
        </is>
      </c>
      <c r="C38" s="134" t="inlineStr">
        <is>
          <t>—</t>
        </is>
      </c>
      <c r="D38" s="134" t="inlineStr">
        <is>
          <t>5.50%</t>
        </is>
      </c>
      <c r="E38" s="134" t="inlineStr">
        <is>
          <t>—</t>
        </is>
      </c>
      <c r="F38" s="135" t="inlineStr">
        <is>
          <t>Damodaran US ERP estimate (2026); historical average ~5-6%</t>
        </is>
      </c>
    </row>
    <row r="39" ht="22" customHeight="1">
      <c r="B39" s="76" t="inlineStr">
        <is>
          <t>Beta (vs. S&amp;P 500)</t>
        </is>
      </c>
      <c r="C39" s="136" t="inlineStr">
        <is>
          <t>—</t>
        </is>
      </c>
      <c r="D39" s="136" t="inlineStr">
        <is>
          <t>1.85</t>
        </is>
      </c>
      <c r="E39" s="136" t="inlineStr">
        <is>
          <t>—</t>
        </is>
      </c>
      <c r="F39" s="20" t="inlineStr">
        <is>
          <t>Estimated; short public history; high leverage amplifies systematic risk</t>
        </is>
      </c>
    </row>
    <row r="40" ht="22" customHeight="1">
      <c r="B40" s="133" t="inlineStr">
        <is>
          <t>Cost of Equity (CAPM)</t>
        </is>
      </c>
      <c r="C40" s="134" t="inlineStr">
        <is>
          <t>—</t>
        </is>
      </c>
      <c r="D40" s="134" t="inlineStr">
        <is>
          <t>14.74%</t>
        </is>
      </c>
      <c r="E40" s="134" t="inlineStr">
        <is>
          <t>—</t>
        </is>
      </c>
      <c r="F40" s="135">
        <f> Rf + β × ERP = 4.57% + 1.85 × 5.5%</f>
        <v/>
      </c>
    </row>
    <row r="41" ht="22" customHeight="1">
      <c r="B41" s="76" t="inlineStr">
        <is>
          <t>Pre-Tax Cost of Debt</t>
        </is>
      </c>
      <c r="C41" s="136" t="inlineStr">
        <is>
          <t>—</t>
        </is>
      </c>
      <c r="D41" s="136" t="inlineStr">
        <is>
          <t>7.80%</t>
        </is>
      </c>
      <c r="E41" s="136" t="inlineStr">
        <is>
          <t>—</t>
        </is>
      </c>
      <c r="F41" s="20" t="inlineStr">
        <is>
          <t>DDTL 4.0: SOFR+225bp (~7.5%) + fixed ~5.9%; blended ~7.8%</t>
        </is>
      </c>
    </row>
    <row r="42" ht="22" customHeight="1">
      <c r="B42" s="133" t="inlineStr">
        <is>
          <t>Effective Tax Rate</t>
        </is>
      </c>
      <c r="C42" s="134" t="inlineStr">
        <is>
          <t>—</t>
        </is>
      </c>
      <c r="D42" s="134" t="inlineStr">
        <is>
          <t>25%</t>
        </is>
      </c>
      <c r="E42" s="134" t="inlineStr">
        <is>
          <t>—</t>
        </is>
      </c>
      <c r="F42" s="135" t="inlineStr">
        <is>
          <t>GAAP effective tax rate; loss-making currently; long-run US federal+state</t>
        </is>
      </c>
    </row>
    <row r="43" ht="22" customHeight="1">
      <c r="B43" s="76" t="inlineStr">
        <is>
          <t>After-Tax Cost of Debt</t>
        </is>
      </c>
      <c r="C43" s="136" t="inlineStr">
        <is>
          <t>—</t>
        </is>
      </c>
      <c r="D43" s="136" t="inlineStr">
        <is>
          <t>5.85%</t>
        </is>
      </c>
      <c r="E43" s="136" t="inlineStr">
        <is>
          <t>—</t>
        </is>
      </c>
      <c r="F43" s="20">
        <f> 7.8% × (1-25%)</f>
        <v/>
      </c>
    </row>
    <row r="44" ht="22" customHeight="1">
      <c r="B44" s="133" t="inlineStr">
        <is>
          <t>Equity Weight (E/V)</t>
        </is>
      </c>
      <c r="C44" s="134" t="inlineStr">
        <is>
          <t>—</t>
        </is>
      </c>
      <c r="D44" s="134" t="inlineStr">
        <is>
          <t>70.2%</t>
        </is>
      </c>
      <c r="E44" s="134" t="inlineStr">
        <is>
          <t>—</t>
        </is>
      </c>
      <c r="F44" s="135" t="inlineStr">
        <is>
          <t>Market cap $58.7B / TEV $81.3B</t>
        </is>
      </c>
    </row>
    <row r="45" ht="22" customHeight="1">
      <c r="B45" s="76" t="inlineStr">
        <is>
          <t>Debt Weight (D/V)</t>
        </is>
      </c>
      <c r="C45" s="136" t="inlineStr">
        <is>
          <t>—</t>
        </is>
      </c>
      <c r="D45" s="136" t="inlineStr">
        <is>
          <t>29.8%</t>
        </is>
      </c>
      <c r="E45" s="136" t="inlineStr">
        <is>
          <t>—</t>
        </is>
      </c>
      <c r="F45" s="20" t="inlineStr">
        <is>
          <t>Net debt $22.6B / TEV $81.3B</t>
        </is>
      </c>
    </row>
    <row r="46" ht="22" customHeight="1">
      <c r="B46" s="130" t="inlineStr">
        <is>
          <t>WACC</t>
        </is>
      </c>
      <c r="C46" s="131" t="inlineStr">
        <is>
          <t>—</t>
        </is>
      </c>
      <c r="D46" s="131" t="inlineStr">
        <is>
          <t>12.10%</t>
        </is>
      </c>
      <c r="E46" s="131" t="inlineStr">
        <is>
          <t>—</t>
        </is>
      </c>
      <c r="F46" s="132">
        <f> E/V × Ke + D/V × Kd × (1-T)</f>
        <v/>
      </c>
    </row>
    <row r="48">
      <c r="B48" s="22" t="inlineStr">
        <is>
          <t>F. TERMINAL VALUE</t>
        </is>
      </c>
    </row>
    <row r="49" ht="22" customHeight="1">
      <c r="B49" s="130" t="inlineStr">
        <is>
          <t>Terminal Growth Rate (Gordon Growth)</t>
        </is>
      </c>
      <c r="C49" s="131" t="inlineStr">
        <is>
          <t>2.0%</t>
        </is>
      </c>
      <c r="D49" s="131" t="inlineStr">
        <is>
          <t>3.5%</t>
        </is>
      </c>
      <c r="E49" s="131" t="inlineStr">
        <is>
          <t>4.5%</t>
        </is>
      </c>
      <c r="F49" s="132" t="inlineStr">
        <is>
          <t>Long-run GDP + inflation; AI infra secular demand; 3.5% = moderate view</t>
        </is>
      </c>
    </row>
    <row r="50" ht="22" customHeight="1">
      <c r="B50" s="130" t="inlineStr">
        <is>
          <t>Exit EBITDA Multiple (cross-check)</t>
        </is>
      </c>
      <c r="C50" s="131" t="inlineStr">
        <is>
          <t>12x</t>
        </is>
      </c>
      <c r="D50" s="131" t="inlineStr">
        <is>
          <t>18x</t>
        </is>
      </c>
      <c r="E50" s="131" t="inlineStr">
        <is>
          <t>22x</t>
        </is>
      </c>
      <c r="F50" s="132" t="inlineStr">
        <is>
          <t>Data center REITs trade 30-32x; discount for leverage; premium for growth</t>
        </is>
      </c>
    </row>
    <row r="51" ht="22" customHeight="1">
      <c r="B51" s="76" t="inlineStr">
        <is>
          <t>Terminal WACC (Gordon Growth)</t>
        </is>
      </c>
      <c r="C51" s="136" t="inlineStr">
        <is>
          <t>—</t>
        </is>
      </c>
      <c r="D51" s="136" t="inlineStr">
        <is>
          <t>12.10%</t>
        </is>
      </c>
      <c r="E51" s="136" t="inlineStr">
        <is>
          <t>—</t>
        </is>
      </c>
      <c r="F51" s="20" t="inlineStr">
        <is>
          <t>Assumes stable long-term capital structure</t>
        </is>
      </c>
    </row>
    <row r="52" ht="22" customHeight="1">
      <c r="B52" s="133" t="inlineStr">
        <is>
          <t>Terminal Value / TEV (%)</t>
        </is>
      </c>
      <c r="C52" s="134" t="inlineStr">
        <is>
          <t>—</t>
        </is>
      </c>
      <c r="D52" s="134" t="inlineStr">
        <is>
          <t>&gt;75%</t>
        </is>
      </c>
      <c r="E52" s="134" t="inlineStr">
        <is>
          <t>—</t>
        </is>
      </c>
      <c r="F52" s="135" t="inlineStr">
        <is>
          <t>Typical for hypergrowth; flagged – model highly sensitive to terminal inputs</t>
        </is>
      </c>
    </row>
    <row r="54">
      <c r="B54" s="22" t="inlineStr">
        <is>
          <t>G. EQUITY BRIDGE</t>
        </is>
      </c>
    </row>
    <row r="55" ht="22" customHeight="1">
      <c r="B55" s="76" t="inlineStr">
        <is>
          <t>Current Net Debt ($M)</t>
        </is>
      </c>
      <c r="C55" s="136" t="inlineStr">
        <is>
          <t>—</t>
        </is>
      </c>
      <c r="D55" s="136" t="inlineStr">
        <is>
          <t>22,615</t>
        </is>
      </c>
      <c r="E55" s="136" t="inlineStr">
        <is>
          <t>—</t>
        </is>
      </c>
      <c r="F55" s="20" t="inlineStr">
        <is>
          <t>Q1'26: Debt $24,859M - Cash $2,244M = $22,615M</t>
        </is>
      </c>
    </row>
    <row r="56" ht="22" customHeight="1">
      <c r="B56" s="133" t="inlineStr">
        <is>
          <t>Projected Net Debt (FY2030E, $M)</t>
        </is>
      </c>
      <c r="C56" s="134" t="inlineStr">
        <is>
          <t>20,000</t>
        </is>
      </c>
      <c r="D56" s="134" t="inlineStr">
        <is>
          <t>15,000</t>
        </is>
      </c>
      <c r="E56" s="134" t="inlineStr">
        <is>
          <t>10,000</t>
        </is>
      </c>
      <c r="F56" s="135" t="inlineStr">
        <is>
          <t>Debt repayments as FCF turns positive ~FY2028; refinancing optionality</t>
        </is>
      </c>
    </row>
    <row r="57" ht="22" customHeight="1">
      <c r="B57" s="76" t="inlineStr">
        <is>
          <t>Diluted Shares Outstanding (M)</t>
        </is>
      </c>
      <c r="C57" s="136" t="inlineStr">
        <is>
          <t>—</t>
        </is>
      </c>
      <c r="D57" s="136" t="inlineStr">
        <is>
          <t>520</t>
        </is>
      </c>
      <c r="E57" s="136" t="inlineStr">
        <is>
          <t>—</t>
        </is>
      </c>
      <c r="F57" s="20" t="inlineStr">
        <is>
          <t>Q1'26: ~527M basic; use 520M diluted (treasury method)</t>
        </is>
      </c>
    </row>
    <row r="58" ht="22" customHeight="1">
      <c r="B58" s="133" t="inlineStr">
        <is>
          <t>Projected Shares (FY2030E, M)</t>
        </is>
      </c>
      <c r="C58" s="134" t="inlineStr">
        <is>
          <t>—</t>
        </is>
      </c>
      <c r="D58" s="134" t="inlineStr">
        <is>
          <t>575</t>
        </is>
      </c>
      <c r="E58" s="134" t="inlineStr">
        <is>
          <t>—</t>
        </is>
      </c>
      <c r="F58" s="135" t="inlineStr">
        <is>
          <t>Modest dilution from SBC; no major equity raises assumed</t>
        </is>
      </c>
    </row>
    <row r="59" ht="22" customHeight="1">
      <c r="B59" s="76" t="inlineStr">
        <is>
          <t>Equity investments / Other</t>
        </is>
      </c>
      <c r="C59" s="136" t="inlineStr">
        <is>
          <t>—</t>
        </is>
      </c>
      <c r="D59" s="136" t="inlineStr">
        <is>
          <t>Nil</t>
        </is>
      </c>
      <c r="E59" s="136" t="inlineStr">
        <is>
          <t>—</t>
        </is>
      </c>
      <c r="F59" s="20" t="inlineStr">
        <is>
          <t>No material equity stakes in third parties disclosed</t>
        </is>
      </c>
    </row>
    <row r="61">
      <c r="B61" s="22" t="inlineStr">
        <is>
          <t>H. WORKING CAPITAL</t>
        </is>
      </c>
    </row>
    <row r="62" ht="22" customHeight="1">
      <c r="B62" s="133" t="inlineStr">
        <is>
          <t>NWC Change / Revenue (FY2026E)</t>
        </is>
      </c>
      <c r="C62" s="134" t="inlineStr">
        <is>
          <t>—</t>
        </is>
      </c>
      <c r="D62" s="134" t="inlineStr">
        <is>
          <t>2.0%</t>
        </is>
      </c>
      <c r="E62" s="134" t="inlineStr">
        <is>
          <t>—</t>
        </is>
      </c>
      <c r="F62" s="135" t="inlineStr">
        <is>
          <t>Deferred revenue offsets AR; net NWC increases modestly with revenue</t>
        </is>
      </c>
    </row>
    <row r="63" ht="22" customHeight="1">
      <c r="B63" s="76" t="inlineStr">
        <is>
          <t>NWC Change / Revenue (FY2027-30E)</t>
        </is>
      </c>
      <c r="C63" s="136" t="inlineStr">
        <is>
          <t>—</t>
        </is>
      </c>
      <c r="D63" s="136" t="inlineStr">
        <is>
          <t>0.5-1.0%</t>
        </is>
      </c>
      <c r="E63" s="136" t="inlineStr">
        <is>
          <t>—</t>
        </is>
      </c>
      <c r="F63" s="20" t="inlineStr">
        <is>
          <t>Normalizes as growth decelerates; deferred rev may provide NWC buffer</t>
        </is>
      </c>
    </row>
    <row r="64" ht="22" customHeight="1">
      <c r="B64" s="133" t="inlineStr">
        <is>
          <t>Days Sales Outstanding (DSO)</t>
        </is>
      </c>
      <c r="C64" s="134" t="inlineStr">
        <is>
          <t>—</t>
        </is>
      </c>
      <c r="D64" s="134" t="inlineStr">
        <is>
          <t>~35 days</t>
        </is>
      </c>
      <c r="E64" s="134" t="inlineStr">
        <is>
          <t>—</t>
        </is>
      </c>
      <c r="F64" s="135" t="inlineStr">
        <is>
          <t>Q1'26: AR $2,120M on $2,078M quarterly rev = 31 days</t>
        </is>
      </c>
    </row>
    <row r="65" ht="22" customHeight="1">
      <c r="B65" s="76" t="inlineStr">
        <is>
          <t>Accounts Payable Turnover</t>
        </is>
      </c>
      <c r="C65" s="136" t="inlineStr">
        <is>
          <t>—</t>
        </is>
      </c>
      <c r="D65" s="136" t="inlineStr">
        <is>
          <t>Quick payer</t>
        </is>
      </c>
      <c r="E65" s="136" t="inlineStr">
        <is>
          <t>—</t>
        </is>
      </c>
      <c r="F65" s="20" t="inlineStr">
        <is>
          <t>Large balance $3.4B in AP at Q1'26; GPU procurement in advance</t>
        </is>
      </c>
    </row>
    <row r="68">
      <c r="B68" s="20" t="inlineStr">
        <is>
          <t>Yellow = high sensitivity assumption. Review these inputs first when stress-testing the model. All monetary values in USD millions unless noted.</t>
        </is>
      </c>
    </row>
  </sheetData>
  <mergeCells count="10">
    <mergeCell ref="B6:F6"/>
    <mergeCell ref="B2:F2"/>
    <mergeCell ref="B48:F48"/>
    <mergeCell ref="B54:F54"/>
    <mergeCell ref="B28:F28"/>
    <mergeCell ref="B3:F3"/>
    <mergeCell ref="B61:F61"/>
    <mergeCell ref="B22:F22"/>
    <mergeCell ref="B14:F14"/>
    <mergeCell ref="B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2026-05-22T12:23:50Z</dcterms:created>
  <dcterms:modified xmlns:dcterms="http://purl.org/dc/terms/" xmlns:xsi="http://www.w3.org/2001/XMLSchema-instance" xsi:type="dcterms:W3CDTF">2026-05-22T12:30:50Z</dcterms:modified>
</cp:coreProperties>
</file>