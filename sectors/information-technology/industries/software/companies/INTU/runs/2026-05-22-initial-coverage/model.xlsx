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enue Model"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DCF Model" sheetId="6" state="visible" r:id="rId6"/>
    <sheet xmlns:r="http://schemas.openxmlformats.org/officeDocument/2006/relationships" name="Sensitivity" sheetId="7" state="visible" r:id="rId7"/>
    <sheet xmlns:r="http://schemas.openxmlformats.org/officeDocument/2006/relationships" name="Comps" sheetId="8" state="visible" r:id="rId8"/>
    <sheet xmlns:r="http://schemas.openxmlformats.org/officeDocument/2006/relationships" name="Thesis Tracker" sheetId="9" state="visible" r:id="rId9"/>
    <sheet xmlns:r="http://schemas.openxmlformats.org/officeDocument/2006/relationships" name="DCF Assumptions" sheetId="10" state="visible" r:id="rId10"/>
  </sheets>
  <definedNames/>
  <calcPr calcId="124519" fullCalcOnLoad="1"/>
</workbook>
</file>

<file path=xl/styles.xml><?xml version="1.0" encoding="utf-8"?>
<styleSheet xmlns="http://schemas.openxmlformats.org/spreadsheetml/2006/main">
  <numFmts count="4">
    <numFmt numFmtId="164" formatCode="0.000"/>
    <numFmt numFmtId="165" formatCode="$#,##0.00"/>
    <numFmt numFmtId="166" formatCode="0.0x"/>
    <numFmt numFmtId="167" formatCode="#,##0.0"/>
  </numFmts>
  <fonts count="29">
    <font>
      <name val="Calibri"/>
      <family val="2"/>
      <color theme="1"/>
      <sz val="11"/>
      <scheme val="minor"/>
    </font>
    <font>
      <name val="Calibri"/>
      <b val="1"/>
      <color rgb="00FFFFFF"/>
      <sz val="16"/>
    </font>
    <font>
      <name val="Calibri"/>
      <color rgb="00FFFFFF"/>
      <sz val="11"/>
    </font>
    <font>
      <name val="Calibri"/>
      <b val="1"/>
      <color rgb="001F3864"/>
      <sz val="10"/>
    </font>
    <font>
      <name val="Calibri"/>
      <b val="1"/>
      <color rgb="00404040"/>
      <sz val="10"/>
    </font>
    <font>
      <name val="Calibri"/>
      <b val="1"/>
      <color rgb="001F3864"/>
      <sz val="11"/>
    </font>
    <font>
      <name val="Calibri"/>
      <color rgb="00000000"/>
      <sz val="9"/>
    </font>
    <font>
      <name val="Calibri"/>
      <b val="1"/>
      <color rgb="00FFFFFF"/>
      <sz val="11"/>
    </font>
    <font>
      <name val="Calibri"/>
      <color rgb="00000000"/>
      <sz val="10"/>
    </font>
    <font>
      <name val="Calibri"/>
      <b val="1"/>
      <color rgb="00000000"/>
      <sz val="10"/>
    </font>
    <font>
      <name val="Calibri"/>
      <i val="1"/>
      <color rgb="00808080"/>
      <sz val="8"/>
    </font>
    <font>
      <name val="Calibri"/>
      <b val="1"/>
      <color rgb="001F3864"/>
      <sz val="14"/>
    </font>
    <font>
      <name val="Calibri"/>
      <i val="1"/>
      <color rgb="00606060"/>
      <sz val="9"/>
    </font>
    <font>
      <name val="Calibri"/>
      <b val="1"/>
      <color rgb="00FFFF00"/>
      <sz val="10"/>
    </font>
    <font>
      <name val="Calibri"/>
      <b val="1"/>
      <color rgb="00FFFFFF"/>
      <sz val="10"/>
    </font>
    <font>
      <name val="Calibri"/>
      <b val="1"/>
      <color rgb="00FFCCCC"/>
      <sz val="10"/>
    </font>
    <font>
      <name val="Calibri"/>
      <b val="1"/>
      <sz val="10"/>
    </font>
    <font>
      <name val="Calibri"/>
      <color rgb="000000FF"/>
      <sz val="10"/>
    </font>
    <font>
      <name val="Calibri"/>
      <sz val="10"/>
    </font>
    <font>
      <name val="Calibri"/>
      <i val="1"/>
      <color rgb="00505050"/>
      <sz val="9"/>
    </font>
    <font>
      <name val="Calibri"/>
      <b val="1"/>
      <color rgb="00FFFFFF"/>
    </font>
    <font>
      <name val="Calibri"/>
      <sz val="9"/>
    </font>
    <font>
      <name val="Calibri"/>
      <i val="1"/>
      <color rgb="00404040"/>
      <sz val="9"/>
    </font>
    <font>
      <name val="Calibri"/>
      <color rgb="00C00000"/>
      <sz val="9"/>
    </font>
    <font>
      <name val="Calibri"/>
      <color rgb="00375623"/>
      <sz val="9"/>
    </font>
    <font>
      <name val="Calibri"/>
      <color rgb="001F3864"/>
      <sz val="9"/>
    </font>
    <font>
      <name val="Calibri"/>
      <b val="1"/>
      <sz val="9"/>
    </font>
    <font>
      <name val="Calibri"/>
      <b val="1"/>
      <color rgb="00000000"/>
      <sz val="9"/>
    </font>
    <font>
      <name val="Calibri"/>
      <i val="1"/>
      <color rgb="00C00000"/>
      <sz val="9"/>
    </font>
  </fonts>
  <fills count="28">
    <fill>
      <patternFill/>
    </fill>
    <fill>
      <patternFill patternType="gray125"/>
    </fill>
    <fill>
      <patternFill patternType="solid">
        <fgColor rgb="001F3864"/>
      </patternFill>
    </fill>
    <fill>
      <patternFill patternType="solid">
        <fgColor rgb="002E5899"/>
      </patternFill>
    </fill>
    <fill>
      <patternFill patternType="solid">
        <fgColor rgb="00BDD7EE"/>
      </patternFill>
    </fill>
    <fill>
      <patternFill patternType="solid">
        <fgColor rgb="00F2F2F2"/>
      </patternFill>
    </fill>
    <fill>
      <patternFill patternType="solid">
        <fgColor rgb="00F7FBFF"/>
      </patternFill>
    </fill>
    <fill>
      <patternFill patternType="solid">
        <fgColor rgb="00D9D9D9"/>
      </patternFill>
    </fill>
    <fill>
      <patternFill patternType="solid">
        <fgColor rgb="00FCE4D6"/>
      </patternFill>
    </fill>
    <fill>
      <patternFill patternType="solid">
        <fgColor rgb="00FFF2CC"/>
      </patternFill>
    </fill>
    <fill>
      <patternFill patternType="solid">
        <fgColor rgb="00EBF3FB"/>
      </patternFill>
    </fill>
    <fill>
      <patternFill/>
    </fill>
    <fill>
      <patternFill patternType="solid">
        <fgColor rgb="00C9A84C"/>
      </patternFill>
    </fill>
    <fill>
      <patternFill patternType="solid">
        <fgColor rgb="0063BE7B"/>
      </patternFill>
    </fill>
    <fill>
      <patternFill patternType="solid">
        <fgColor rgb="00FFEB84"/>
      </patternFill>
    </fill>
    <fill>
      <patternFill patternType="solid">
        <fgColor rgb="00F8696B"/>
      </patternFill>
    </fill>
    <fill>
      <patternFill patternType="solid">
        <fgColor rgb="00C00000"/>
      </patternFill>
    </fill>
    <fill>
      <patternFill patternType="solid">
        <fgColor rgb="00D9534F"/>
      </patternFill>
    </fill>
    <fill>
      <patternFill patternType="solid">
        <fgColor rgb="00FFF2F2"/>
      </patternFill>
    </fill>
    <fill>
      <patternFill patternType="solid">
        <fgColor rgb="00375623"/>
      </patternFill>
    </fill>
    <fill>
      <patternFill patternType="solid">
        <fgColor rgb="0070AD47"/>
      </patternFill>
    </fill>
    <fill>
      <patternFill patternType="solid">
        <fgColor rgb="00C6EFCE"/>
      </patternFill>
    </fill>
    <fill>
      <patternFill patternType="solid">
        <fgColor rgb="00F2FFF2"/>
      </patternFill>
    </fill>
    <fill>
      <patternFill patternType="solid">
        <fgColor rgb="007030A0"/>
      </patternFill>
    </fill>
    <fill>
      <patternFill patternType="solid">
        <fgColor rgb="009E3AC7"/>
      </patternFill>
    </fill>
    <fill>
      <patternFill patternType="solid">
        <fgColor rgb="00FFCCCC"/>
      </patternFill>
    </fill>
    <fill>
      <patternFill patternType="solid">
        <fgColor rgb="00E2EFDA"/>
      </patternFill>
    </fill>
    <fill>
      <patternFill patternType="solid">
        <fgColor rgb="00FAF0FF"/>
      </patternFill>
    </fill>
  </fills>
  <borders count="2">
    <border>
      <left/>
      <right/>
      <top/>
      <bottom/>
      <diagonal/>
    </border>
    <border>
      <bottom style="thin">
        <color rgb="00BFBFBF"/>
      </bottom>
    </border>
  </borders>
  <cellStyleXfs count="1">
    <xf numFmtId="0" fontId="0" fillId="0" borderId="0"/>
  </cellStyleXfs>
  <cellXfs count="15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4" fillId="5" borderId="0" applyAlignment="1" pivotButton="0" quotePrefix="0" xfId="0">
      <alignment horizontal="left" vertical="center" indent="1"/>
    </xf>
    <xf numFmtId="0" fontId="5" fillId="5" borderId="0" applyAlignment="1" pivotButton="0" quotePrefix="0" xfId="0">
      <alignment horizontal="center" vertical="center"/>
    </xf>
    <xf numFmtId="0" fontId="6" fillId="6" borderId="0" applyAlignment="1" pivotButton="0" quotePrefix="0" xfId="0">
      <alignment horizontal="left" vertical="center" wrapText="1" indent="1"/>
    </xf>
    <xf numFmtId="0" fontId="0" fillId="6" borderId="0" pivotButton="0" quotePrefix="0" xfId="0"/>
    <xf numFmtId="0" fontId="4" fillId="0" borderId="0" applyAlignment="1" pivotButton="0" quotePrefix="0" xfId="0">
      <alignment horizontal="left" vertical="center" indent="1"/>
    </xf>
    <xf numFmtId="0" fontId="5" fillId="0" borderId="0" applyAlignment="1" pivotButton="0" quotePrefix="0" xfId="0">
      <alignment horizontal="center" vertical="center"/>
    </xf>
    <xf numFmtId="0" fontId="6" fillId="0" borderId="0" applyAlignment="1" pivotButton="0" quotePrefix="0" xfId="0">
      <alignment horizontal="left" vertical="center" wrapText="1" indent="1"/>
    </xf>
    <xf numFmtId="0" fontId="7" fillId="2" borderId="0" applyAlignment="1" pivotButton="0" quotePrefix="0" xfId="0">
      <alignment horizontal="center" vertical="center"/>
    </xf>
    <xf numFmtId="0" fontId="8" fillId="6" borderId="0" applyAlignment="1" pivotButton="0" quotePrefix="0" xfId="0">
      <alignment horizontal="left" vertical="center" indent="1"/>
    </xf>
    <xf numFmtId="3" fontId="8" fillId="6" borderId="0" applyAlignment="1" pivotButton="0" quotePrefix="0" xfId="0">
      <alignment horizontal="right" vertical="center"/>
    </xf>
    <xf numFmtId="0" fontId="8" fillId="0" borderId="0" applyAlignment="1" pivotButton="0" quotePrefix="0" xfId="0">
      <alignment horizontal="left" vertical="center" indent="1"/>
    </xf>
    <xf numFmtId="0" fontId="0" fillId="0" borderId="0" applyAlignment="1" pivotButton="0" quotePrefix="0" xfId="0">
      <alignment horizontal="center" vertical="center"/>
    </xf>
    <xf numFmtId="10" fontId="8" fillId="0" borderId="0" applyAlignment="1" pivotButton="0" quotePrefix="0" xfId="0">
      <alignment horizontal="right" vertical="center"/>
    </xf>
    <xf numFmtId="0" fontId="0" fillId="6" borderId="0" applyAlignment="1" pivotButton="0" quotePrefix="0" xfId="0">
      <alignment horizontal="center" vertical="center"/>
    </xf>
    <xf numFmtId="3" fontId="8" fillId="0" borderId="0" applyAlignment="1" pivotButton="0" quotePrefix="0" xfId="0">
      <alignment horizontal="right" vertical="center"/>
    </xf>
    <xf numFmtId="4" fontId="8" fillId="6" borderId="0" applyAlignment="1" pivotButton="0" quotePrefix="0" xfId="0">
      <alignment horizontal="right" vertical="center"/>
    </xf>
    <xf numFmtId="4" fontId="8" fillId="0" borderId="0" applyAlignment="1" pivotButton="0" quotePrefix="0" xfId="0">
      <alignment horizontal="right" vertical="center"/>
    </xf>
    <xf numFmtId="0" fontId="9" fillId="7" borderId="1" pivotButton="0" quotePrefix="0" xfId="0"/>
    <xf numFmtId="0" fontId="3" fillId="4" borderId="0" pivotButton="0" quotePrefix="0" xfId="0"/>
    <xf numFmtId="0" fontId="0" fillId="5" borderId="0" applyAlignment="1" pivotButton="0" quotePrefix="0" xfId="0">
      <alignment horizontal="left" vertical="center" indent="1"/>
    </xf>
    <xf numFmtId="0" fontId="0" fillId="5" borderId="0" applyAlignment="1" pivotButton="0" quotePrefix="0" xfId="0">
      <alignment horizontal="center" vertical="center"/>
    </xf>
    <xf numFmtId="0" fontId="0" fillId="0" borderId="0" applyAlignment="1" pivotButton="0" quotePrefix="0" xfId="0">
      <alignment horizontal="left" vertical="center" indent="1"/>
    </xf>
    <xf numFmtId="0" fontId="5" fillId="4" borderId="0" applyAlignment="1" pivotButton="0" quotePrefix="0" xfId="0">
      <alignment horizontal="left" vertical="center" indent="1"/>
    </xf>
    <xf numFmtId="0" fontId="5" fillId="4" borderId="0" applyAlignment="1" pivotButton="0" quotePrefix="0" xfId="0">
      <alignment horizontal="center" vertical="center"/>
    </xf>
    <xf numFmtId="0" fontId="3" fillId="8" borderId="0" pivotButton="0" quotePrefix="0" xfId="0"/>
    <xf numFmtId="0" fontId="6" fillId="0" borderId="0" applyAlignment="1" pivotButton="0" quotePrefix="0" xfId="0">
      <alignment horizontal="left" wrapText="1" indent="1"/>
    </xf>
    <xf numFmtId="0" fontId="6" fillId="9" borderId="0" applyAlignment="1" pivotButton="0" quotePrefix="0" xfId="0">
      <alignment horizontal="left" wrapText="1" indent="1"/>
    </xf>
    <xf numFmtId="0" fontId="0" fillId="9" borderId="0" pivotButton="0" quotePrefix="0" xfId="0"/>
    <xf numFmtId="0" fontId="10" fillId="0" borderId="0" pivotButton="0" quotePrefix="0" xfId="0"/>
    <xf numFmtId="0" fontId="11" fillId="0" borderId="0" applyAlignment="1" pivotButton="0" quotePrefix="0" xfId="0">
      <alignment horizontal="left" vertical="center" indent="1"/>
    </xf>
    <xf numFmtId="0" fontId="12" fillId="0" borderId="0" pivotButton="0" quotePrefix="0" xfId="0"/>
    <xf numFmtId="0" fontId="7" fillId="3" borderId="0" applyAlignment="1" pivotButton="0" quotePrefix="0" xfId="0">
      <alignment horizontal="center" vertical="center"/>
    </xf>
    <xf numFmtId="0" fontId="9" fillId="6" borderId="0" applyAlignment="1" pivotButton="0" quotePrefix="0" xfId="0">
      <alignment horizontal="left" vertical="center" indent="1"/>
    </xf>
    <xf numFmtId="0" fontId="9" fillId="0" borderId="0" applyAlignment="1" pivotButton="0" quotePrefix="0" xfId="0">
      <alignment horizontal="left" vertical="center" indent="1"/>
    </xf>
    <xf numFmtId="0" fontId="9" fillId="7" borderId="0" applyAlignment="1" pivotButton="0" quotePrefix="0" xfId="0">
      <alignment horizontal="left" vertical="center" indent="1"/>
    </xf>
    <xf numFmtId="3" fontId="8" fillId="7" borderId="0" applyAlignment="1" pivotButton="0" quotePrefix="0" xfId="0">
      <alignment horizontal="right" vertical="center"/>
    </xf>
    <xf numFmtId="0" fontId="9" fillId="7" borderId="0" pivotButton="0" quotePrefix="0" xfId="0"/>
    <xf numFmtId="10" fontId="8" fillId="6" borderId="0" applyAlignment="1" pivotButton="0" quotePrefix="0" xfId="0">
      <alignment horizontal="right" vertical="center"/>
    </xf>
    <xf numFmtId="0" fontId="16" fillId="5" borderId="0" applyAlignment="1" pivotButton="0" quotePrefix="0" xfId="0">
      <alignment horizontal="left" vertical="center" indent="1"/>
    </xf>
    <xf numFmtId="10" fontId="17" fillId="10" borderId="0" applyAlignment="1" pivotButton="0" quotePrefix="0" xfId="0">
      <alignment horizontal="right" vertical="center"/>
    </xf>
    <xf numFmtId="0" fontId="0" fillId="5" borderId="0" pivotButton="0" quotePrefix="0" xfId="0"/>
    <xf numFmtId="10" fontId="8" fillId="11" borderId="0" applyAlignment="1" pivotButton="0" quotePrefix="0" xfId="0">
      <alignment horizontal="right" vertical="center"/>
    </xf>
    <xf numFmtId="0" fontId="18" fillId="0" borderId="0" applyAlignment="1" pivotButton="0" quotePrefix="0" xfId="0">
      <alignment horizontal="left" vertical="center" indent="1"/>
    </xf>
    <xf numFmtId="0" fontId="18" fillId="5" borderId="0" applyAlignment="1" pivotButton="0" quotePrefix="0" xfId="0">
      <alignment horizontal="left" vertical="center" indent="1"/>
    </xf>
    <xf numFmtId="3" fontId="9" fillId="7" borderId="0" applyAlignment="1" pivotButton="0" quotePrefix="0" xfId="0">
      <alignment horizontal="right" vertical="center"/>
    </xf>
    <xf numFmtId="0" fontId="9" fillId="7" borderId="0" applyAlignment="1" pivotButton="0" quotePrefix="0" xfId="0">
      <alignment horizontal="center" vertical="center"/>
    </xf>
    <xf numFmtId="10" fontId="17" fillId="6" borderId="0" applyAlignment="1" pivotButton="0" quotePrefix="0" xfId="0">
      <alignment horizontal="right" vertical="center"/>
    </xf>
    <xf numFmtId="3" fontId="17" fillId="0" borderId="0" applyAlignment="1" pivotButton="0" quotePrefix="0" xfId="0">
      <alignment horizontal="right" vertical="center"/>
    </xf>
    <xf numFmtId="0" fontId="9" fillId="10" borderId="0" applyAlignment="1" pivotButton="0" quotePrefix="0" xfId="0">
      <alignment horizontal="left" vertical="center" indent="1"/>
    </xf>
    <xf numFmtId="3" fontId="9" fillId="10" borderId="0" applyAlignment="1" pivotButton="0" quotePrefix="0" xfId="0">
      <alignment horizontal="right" vertical="center"/>
    </xf>
    <xf numFmtId="0" fontId="9" fillId="10" borderId="0" pivotButton="0" quotePrefix="0" xfId="0"/>
    <xf numFmtId="10" fontId="17" fillId="0" borderId="0" applyAlignment="1" pivotButton="0" quotePrefix="0" xfId="0">
      <alignment horizontal="right" vertical="center"/>
    </xf>
    <xf numFmtId="3" fontId="17" fillId="6" borderId="0" applyAlignment="1" pivotButton="0" quotePrefix="0" xfId="0">
      <alignment horizontal="right" vertical="center"/>
    </xf>
    <xf numFmtId="4" fontId="9" fillId="10" borderId="0" applyAlignment="1" pivotButton="0" quotePrefix="0" xfId="0">
      <alignment horizontal="right" vertical="center"/>
    </xf>
    <xf numFmtId="0" fontId="14" fillId="3" borderId="0" applyAlignment="1" pivotButton="0" quotePrefix="0" xfId="0">
      <alignment horizontal="center" vertical="center"/>
    </xf>
    <xf numFmtId="0" fontId="14" fillId="3" borderId="0" pivotButton="0" quotePrefix="0" xfId="0"/>
    <xf numFmtId="0" fontId="19" fillId="0" borderId="0" applyAlignment="1" pivotButton="0" quotePrefix="0" xfId="0">
      <alignment horizontal="left" vertical="center"/>
    </xf>
    <xf numFmtId="0" fontId="18" fillId="6" borderId="0" applyAlignment="1" pivotButton="0" quotePrefix="0" xfId="0">
      <alignment horizontal="left" vertical="center" indent="1"/>
    </xf>
    <xf numFmtId="0" fontId="19" fillId="6" borderId="0" applyAlignment="1" pivotButton="0" quotePrefix="0" xfId="0">
      <alignment horizontal="left" vertical="center"/>
    </xf>
    <xf numFmtId="4" fontId="17" fillId="10" borderId="0" applyAlignment="1" pivotButton="0" quotePrefix="0" xfId="0">
      <alignment horizontal="right" vertical="center"/>
    </xf>
    <xf numFmtId="4" fontId="17" fillId="6" borderId="0" applyAlignment="1" pivotButton="0" quotePrefix="0" xfId="0">
      <alignment horizontal="right" vertical="center"/>
    </xf>
    <xf numFmtId="10" fontId="3" fillId="4" borderId="0" applyAlignment="1" pivotButton="0" quotePrefix="0" xfId="0">
      <alignment horizontal="right" vertical="center"/>
    </xf>
    <xf numFmtId="0" fontId="3" fillId="4" borderId="0" applyAlignment="1" pivotButton="0" quotePrefix="0" xfId="0">
      <alignment horizontal="left" vertical="center"/>
    </xf>
    <xf numFmtId="3" fontId="8" fillId="10" borderId="0" applyAlignment="1" pivotButton="0" quotePrefix="0" xfId="0">
      <alignment horizontal="right" vertical="center"/>
    </xf>
    <xf numFmtId="0" fontId="19" fillId="10" borderId="0" applyAlignment="1" pivotButton="0" quotePrefix="0" xfId="0">
      <alignment horizontal="left"/>
    </xf>
    <xf numFmtId="0" fontId="0" fillId="10" borderId="0" pivotButton="0" quotePrefix="0" xfId="0"/>
    <xf numFmtId="0" fontId="19" fillId="0" borderId="0" applyAlignment="1" pivotButton="0" quotePrefix="0" xfId="0">
      <alignment horizontal="left"/>
    </xf>
    <xf numFmtId="0" fontId="19" fillId="6" borderId="0" applyAlignment="1" pivotButton="0" quotePrefix="0" xfId="0">
      <alignment horizontal="left"/>
    </xf>
    <xf numFmtId="164" fontId="8" fillId="6" borderId="0" applyAlignment="1" pivotButton="0" quotePrefix="0" xfId="0">
      <alignment horizontal="right" vertical="center"/>
    </xf>
    <xf numFmtId="3" fontId="5" fillId="4" borderId="0" applyAlignment="1" pivotButton="0" quotePrefix="0" xfId="0">
      <alignment horizontal="right" vertical="center"/>
    </xf>
    <xf numFmtId="0" fontId="0" fillId="4" borderId="0" pivotButton="0" quotePrefix="0" xfId="0"/>
    <xf numFmtId="3" fontId="17" fillId="10" borderId="0" applyAlignment="1" pivotButton="0" quotePrefix="0" xfId="0">
      <alignment horizontal="right" vertical="center"/>
    </xf>
    <xf numFmtId="165" fontId="5" fillId="4" borderId="0" applyAlignment="1" pivotButton="0" quotePrefix="0" xfId="0">
      <alignment horizontal="right" vertical="center"/>
    </xf>
    <xf numFmtId="0" fontId="19" fillId="4" borderId="0" applyAlignment="1" pivotButton="0" quotePrefix="0" xfId="0">
      <alignment horizontal="left"/>
    </xf>
    <xf numFmtId="166" fontId="17" fillId="6" borderId="0" applyAlignment="1" pivotButton="0" quotePrefix="0" xfId="0">
      <alignment horizontal="right" vertical="center"/>
    </xf>
    <xf numFmtId="165" fontId="8" fillId="0" borderId="0" applyAlignment="1" pivotButton="0" quotePrefix="0" xfId="0">
      <alignment horizontal="right" vertical="center"/>
    </xf>
    <xf numFmtId="0" fontId="4" fillId="0" borderId="0" applyAlignment="1" pivotButton="0" quotePrefix="0" xfId="0">
      <alignment horizontal="center" vertical="center"/>
    </xf>
    <xf numFmtId="165" fontId="0" fillId="0" borderId="0" applyAlignment="1" pivotButton="0" quotePrefix="0" xfId="0">
      <alignment horizontal="center" vertical="center"/>
    </xf>
    <xf numFmtId="165" fontId="20" fillId="12" borderId="0" applyAlignment="1" pivotButton="0" quotePrefix="0" xfId="0">
      <alignment horizontal="center" vertical="center"/>
    </xf>
    <xf numFmtId="0" fontId="14" fillId="2" borderId="0" pivotButton="0" quotePrefix="0" xfId="0"/>
    <xf numFmtId="165" fontId="8" fillId="13" borderId="0" applyAlignment="1" pivotButton="0" quotePrefix="0" xfId="0">
      <alignment horizontal="right" vertical="center"/>
    </xf>
    <xf numFmtId="165" fontId="8" fillId="14" borderId="0" applyAlignment="1" pivotButton="0" quotePrefix="0" xfId="0">
      <alignment horizontal="right" vertical="center"/>
    </xf>
    <xf numFmtId="165" fontId="8" fillId="15" borderId="0" applyAlignment="1" pivotButton="0" quotePrefix="0" xfId="0">
      <alignment horizontal="right" vertical="center"/>
    </xf>
    <xf numFmtId="0" fontId="3" fillId="4" borderId="0" applyAlignment="1" pivotButton="0" quotePrefix="0" xfId="0">
      <alignment horizontal="center" vertical="center"/>
    </xf>
    <xf numFmtId="167" fontId="3" fillId="4" borderId="0" applyAlignment="1" pivotButton="0" quotePrefix="0" xfId="0">
      <alignment horizontal="center" vertical="center"/>
    </xf>
    <xf numFmtId="10" fontId="3" fillId="4" borderId="0" applyAlignment="1" pivotButton="0" quotePrefix="0" xfId="0">
      <alignment horizontal="center" vertical="center"/>
    </xf>
    <xf numFmtId="166" fontId="3" fillId="4" borderId="0" applyAlignment="1" pivotButton="0" quotePrefix="0" xfId="0">
      <alignment horizontal="center" vertical="center"/>
    </xf>
    <xf numFmtId="0" fontId="8" fillId="0" borderId="0" applyAlignment="1" pivotButton="0" quotePrefix="0" xfId="0">
      <alignment horizontal="center" vertical="center"/>
    </xf>
    <xf numFmtId="167" fontId="8" fillId="0" borderId="0" applyAlignment="1" pivotButton="0" quotePrefix="0" xfId="0">
      <alignment horizontal="center" vertical="center"/>
    </xf>
    <xf numFmtId="10" fontId="8" fillId="0" borderId="0" applyAlignment="1" pivotButton="0" quotePrefix="0" xfId="0">
      <alignment horizontal="center" vertical="center"/>
    </xf>
    <xf numFmtId="166" fontId="8" fillId="0" borderId="0" applyAlignment="1" pivotButton="0" quotePrefix="0" xfId="0">
      <alignment horizontal="center" vertical="center"/>
    </xf>
    <xf numFmtId="0" fontId="8" fillId="6" borderId="0" applyAlignment="1" pivotButton="0" quotePrefix="0" xfId="0">
      <alignment horizontal="center" vertical="center"/>
    </xf>
    <xf numFmtId="167" fontId="8" fillId="6" borderId="0" applyAlignment="1" pivotButton="0" quotePrefix="0" xfId="0">
      <alignment horizontal="center" vertical="center"/>
    </xf>
    <xf numFmtId="10" fontId="8" fillId="6" borderId="0" applyAlignment="1" pivotButton="0" quotePrefix="0" xfId="0">
      <alignment horizontal="center" vertical="center"/>
    </xf>
    <xf numFmtId="166" fontId="8" fillId="6" borderId="0" applyAlignment="1" pivotButton="0" quotePrefix="0" xfId="0">
      <alignment horizontal="center" vertical="center"/>
    </xf>
    <xf numFmtId="0" fontId="0" fillId="7" borderId="0" applyAlignment="1" pivotButton="0" quotePrefix="0" xfId="0">
      <alignment horizontal="center" vertical="center"/>
    </xf>
    <xf numFmtId="0" fontId="4" fillId="7" borderId="0" pivotButton="0" quotePrefix="0" xfId="0"/>
    <xf numFmtId="0" fontId="0" fillId="7" borderId="0" pivotButton="0" quotePrefix="0" xfId="0"/>
    <xf numFmtId="166" fontId="8" fillId="7" borderId="0" applyAlignment="1" pivotButton="0" quotePrefix="0" xfId="0">
      <alignment horizontal="center" vertical="center"/>
    </xf>
    <xf numFmtId="0" fontId="7" fillId="2" borderId="0" pivotButton="0" quotePrefix="0" xfId="0"/>
    <xf numFmtId="0" fontId="14" fillId="2" borderId="0" applyAlignment="1" pivotButton="0" quotePrefix="0" xfId="0">
      <alignment horizontal="center" vertical="center"/>
    </xf>
    <xf numFmtId="0" fontId="16" fillId="6" borderId="0" applyAlignment="1" pivotButton="0" quotePrefix="0" xfId="0">
      <alignment vertical="top" wrapText="1" indent="1"/>
    </xf>
    <xf numFmtId="0" fontId="21" fillId="6" borderId="0" applyAlignment="1" pivotButton="0" quotePrefix="0" xfId="0">
      <alignment vertical="top" wrapText="1" indent="1"/>
    </xf>
    <xf numFmtId="0" fontId="16" fillId="6" borderId="0" applyAlignment="1" pivotButton="0" quotePrefix="0" xfId="0">
      <alignment horizontal="center" vertical="center"/>
    </xf>
    <xf numFmtId="0" fontId="22" fillId="6" borderId="0" applyAlignment="1" pivotButton="0" quotePrefix="0" xfId="0">
      <alignment vertical="top" wrapText="1" indent="1"/>
    </xf>
    <xf numFmtId="0" fontId="16" fillId="0" borderId="0" applyAlignment="1" pivotButton="0" quotePrefix="0" xfId="0">
      <alignment vertical="top" wrapText="1" indent="1"/>
    </xf>
    <xf numFmtId="0" fontId="21" fillId="0" borderId="0" applyAlignment="1" pivotButton="0" quotePrefix="0" xfId="0">
      <alignment vertical="top" wrapText="1" indent="1"/>
    </xf>
    <xf numFmtId="0" fontId="16" fillId="13" borderId="0" applyAlignment="1" pivotButton="0" quotePrefix="0" xfId="0">
      <alignment horizontal="center" vertical="center"/>
    </xf>
    <xf numFmtId="0" fontId="22" fillId="0" borderId="0" applyAlignment="1" pivotButton="0" quotePrefix="0" xfId="0">
      <alignment vertical="top" wrapText="1" indent="1"/>
    </xf>
    <xf numFmtId="0" fontId="16" fillId="14" borderId="0" applyAlignment="1" pivotButton="0" quotePrefix="0" xfId="0">
      <alignment horizontal="center" vertical="center"/>
    </xf>
    <xf numFmtId="0" fontId="7" fillId="16" borderId="0" pivotButton="0" quotePrefix="0" xfId="0"/>
    <xf numFmtId="0" fontId="7" fillId="17" borderId="0" applyAlignment="1" pivotButton="0" quotePrefix="0" xfId="0">
      <alignment horizontal="center" vertical="center"/>
    </xf>
    <xf numFmtId="0" fontId="14" fillId="16" borderId="0" applyAlignment="1" pivotButton="0" quotePrefix="0" xfId="0">
      <alignment horizontal="center" vertical="center"/>
    </xf>
    <xf numFmtId="0" fontId="16" fillId="18" borderId="0" applyAlignment="1" pivotButton="0" quotePrefix="0" xfId="0">
      <alignment vertical="top" wrapText="1" indent="1"/>
    </xf>
    <xf numFmtId="0" fontId="21" fillId="18" borderId="0" applyAlignment="1" pivotButton="0" quotePrefix="0" xfId="0">
      <alignment vertical="top" wrapText="1" indent="1"/>
    </xf>
    <xf numFmtId="0" fontId="16" fillId="18" borderId="0" applyAlignment="1" pivotButton="0" quotePrefix="0" xfId="0">
      <alignment horizontal="center" vertical="center"/>
    </xf>
    <xf numFmtId="0" fontId="22" fillId="18" borderId="0" applyAlignment="1" pivotButton="0" quotePrefix="0" xfId="0">
      <alignment vertical="top" wrapText="1" indent="1"/>
    </xf>
    <xf numFmtId="0" fontId="7" fillId="19" borderId="0" pivotButton="0" quotePrefix="0" xfId="0"/>
    <xf numFmtId="0" fontId="7" fillId="20" borderId="0" applyAlignment="1" pivotButton="0" quotePrefix="0" xfId="0">
      <alignment horizontal="center" vertical="center"/>
    </xf>
    <xf numFmtId="0" fontId="14" fillId="19" borderId="0" applyAlignment="1" pivotButton="0" quotePrefix="0" xfId="0">
      <alignment horizontal="center" vertical="center"/>
    </xf>
    <xf numFmtId="0" fontId="16" fillId="22" borderId="0" applyAlignment="1" pivotButton="0" quotePrefix="0" xfId="0">
      <alignment vertical="top" wrapText="1" indent="1"/>
    </xf>
    <xf numFmtId="0" fontId="21" fillId="22" borderId="0" applyAlignment="1" pivotButton="0" quotePrefix="0" xfId="0">
      <alignment vertical="top" wrapText="1" indent="1"/>
    </xf>
    <xf numFmtId="0" fontId="16" fillId="22" borderId="0" applyAlignment="1" pivotButton="0" quotePrefix="0" xfId="0">
      <alignment horizontal="center" vertical="center"/>
    </xf>
    <xf numFmtId="0" fontId="22" fillId="22" borderId="0" applyAlignment="1" pivotButton="0" quotePrefix="0" xfId="0">
      <alignment vertical="top" wrapText="1" indent="1"/>
    </xf>
    <xf numFmtId="0" fontId="16" fillId="21" borderId="0" applyAlignment="1" pivotButton="0" quotePrefix="0" xfId="0">
      <alignment horizontal="center" vertical="center"/>
    </xf>
    <xf numFmtId="0" fontId="7" fillId="23" borderId="0" pivotButton="0" quotePrefix="0" xfId="0"/>
    <xf numFmtId="0" fontId="7" fillId="24" borderId="0" applyAlignment="1" pivotButton="0" quotePrefix="0" xfId="0">
      <alignment horizontal="center" vertical="center"/>
    </xf>
    <xf numFmtId="0" fontId="14" fillId="23" borderId="0" applyAlignment="1" pivotButton="0" quotePrefix="0" xfId="0">
      <alignment horizontal="center" vertical="center"/>
    </xf>
    <xf numFmtId="0" fontId="16" fillId="27" borderId="0" applyAlignment="1" pivotButton="0" quotePrefix="0" xfId="0">
      <alignment vertical="top" wrapText="1" indent="1"/>
    </xf>
    <xf numFmtId="0" fontId="21" fillId="27" borderId="0" applyAlignment="1" pivotButton="0" quotePrefix="0" xfId="0">
      <alignment vertical="top" wrapText="1" indent="1"/>
    </xf>
    <xf numFmtId="0" fontId="23" fillId="25" borderId="0" applyAlignment="1" pivotButton="0" quotePrefix="0" xfId="0">
      <alignment horizontal="center" vertical="center" wrapText="1"/>
    </xf>
    <xf numFmtId="0" fontId="24" fillId="26" borderId="0" applyAlignment="1" pivotButton="0" quotePrefix="0" xfId="0">
      <alignment horizontal="center" vertical="center" wrapText="1"/>
    </xf>
    <xf numFmtId="0" fontId="25" fillId="4" borderId="0" applyAlignment="1" pivotButton="0" quotePrefix="0" xfId="0">
      <alignment horizontal="center" vertical="center" wrapText="1"/>
    </xf>
    <xf numFmtId="0" fontId="26" fillId="0" borderId="0" applyAlignment="1" pivotButton="0" quotePrefix="0" xfId="0">
      <alignment vertical="top" wrapText="1" indent="1"/>
    </xf>
    <xf numFmtId="0" fontId="27" fillId="6" borderId="0" applyAlignment="1" pivotButton="0" quotePrefix="0" xfId="0">
      <alignment horizontal="center" vertical="center"/>
    </xf>
    <xf numFmtId="0" fontId="17" fillId="6" borderId="0" applyAlignment="1" pivotButton="0" quotePrefix="0" xfId="0">
      <alignment horizontal="center" vertical="top" wrapText="1"/>
    </xf>
    <xf numFmtId="0" fontId="19" fillId="6" borderId="0" applyAlignment="1" pivotButton="0" quotePrefix="0" xfId="0">
      <alignment horizontal="center" vertical="top" wrapText="1"/>
    </xf>
    <xf numFmtId="0" fontId="28" fillId="6" borderId="0" applyAlignment="1" pivotButton="0" quotePrefix="0" xfId="0">
      <alignment vertical="top" wrapText="1" indent="1"/>
    </xf>
    <xf numFmtId="0" fontId="27" fillId="0" borderId="0" applyAlignment="1" pivotButton="0" quotePrefix="0" xfId="0">
      <alignment horizontal="center" vertical="center"/>
    </xf>
    <xf numFmtId="0" fontId="17" fillId="10" borderId="0" applyAlignment="1" pivotButton="0" quotePrefix="0" xfId="0">
      <alignment horizontal="center" vertical="top" wrapText="1"/>
    </xf>
    <xf numFmtId="0" fontId="19" fillId="0" borderId="0" applyAlignment="1" pivotButton="0" quotePrefix="0" xfId="0">
      <alignment horizontal="center" vertical="top" wrapText="1"/>
    </xf>
    <xf numFmtId="0" fontId="28" fillId="0" borderId="0" applyAlignment="1" pivotButton="0" quotePrefix="0" xfId="0">
      <alignment vertical="top" wrapText="1" indent="1"/>
    </xf>
    <xf numFmtId="0" fontId="14" fillId="19" borderId="0" pivotButton="0" quotePrefix="0" xfId="0"/>
    <xf numFmtId="0" fontId="14" fillId="23" borderId="0" pivotButton="0" quotePrefix="0" xfId="0"/>
    <xf numFmtId="0" fontId="14" fillId="16" borderId="0" pivotButton="0" quotePrefix="0" xfId="0"/>
    <xf numFmtId="0" fontId="1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K48"/>
  <sheetViews>
    <sheetView showGridLines="0" workbookViewId="0">
      <selection activeCell="A1" sqref="A1"/>
    </sheetView>
  </sheetViews>
  <sheetFormatPr baseColWidth="8" defaultRowHeight="15" outlineLevelCol="0"/>
  <cols>
    <col width="3" customWidth="1" min="1" max="1"/>
    <col width="2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ht="30" customHeight="1">
      <c r="B2" s="1" t="inlineStr">
        <is>
          <t>INTUIT INC. (INTU) — INITIATING COVERAGE</t>
        </is>
      </c>
    </row>
    <row r="3" ht="18" customHeight="1">
      <c r="B3" s="2" t="inlineStr">
        <is>
          <t>Equity Research | Financial Technology &amp; Business Software | May 22, 2026</t>
        </is>
      </c>
    </row>
    <row r="4"/>
    <row r="5">
      <c r="B5" s="3" t="inlineStr">
        <is>
          <t>KEY METRICS</t>
        </is>
      </c>
      <c r="E5" s="3" t="inlineStr">
        <is>
          <t>INVESTMENT THESIS</t>
        </is>
      </c>
    </row>
    <row r="6" ht="36" customHeight="1">
      <c r="B6" s="4" t="inlineStr">
        <is>
          <t>Rating</t>
        </is>
      </c>
      <c r="C6" s="5" t="inlineStr">
        <is>
          <t>BUY</t>
        </is>
      </c>
      <c r="E6" s="6" t="inlineStr">
        <is>
          <t>Intuit is a dominant AI-powered financial technology platform serving ~100M consumers and SMBs through TurboTax, QuickBooks, Credit Karma, and Mailchimp.</t>
        </is>
      </c>
      <c r="F6" s="7" t="n"/>
      <c r="G6" s="7" t="n"/>
      <c r="H6" s="7" t="n"/>
      <c r="I6" s="7" t="n"/>
      <c r="J6" s="7" t="n"/>
      <c r="K6" s="7" t="n"/>
    </row>
    <row r="7" ht="36" customHeight="1">
      <c r="B7" s="8" t="inlineStr">
        <is>
          <t>Price Target</t>
        </is>
      </c>
      <c r="C7" s="9" t="inlineStr">
        <is>
          <t>$560</t>
        </is>
      </c>
      <c r="E7" s="10" t="inlineStr">
        <is>
          <t>The company's proprietary GenOS AI operating system and vast data moat (60B+ ML predictions/day) create deep switching costs and sustainable competitive advantages.</t>
        </is>
      </c>
    </row>
    <row r="8" ht="36" customHeight="1">
      <c r="B8" s="4" t="inlineStr">
        <is>
          <t>Current Price</t>
        </is>
      </c>
      <c r="C8" s="5" t="inlineStr">
        <is>
          <t>$307</t>
        </is>
      </c>
      <c r="E8" s="6" t="inlineStr">
        <is>
          <t>We see a long runway for margin expansion as AI shifts Intuit from a tool vendor to a 'done-for-you' autonomous agent platform across tax, accounting, and financial services.</t>
        </is>
      </c>
      <c r="F8" s="7" t="n"/>
      <c r="G8" s="7" t="n"/>
      <c r="H8" s="7" t="n"/>
      <c r="I8" s="7" t="n"/>
      <c r="J8" s="7" t="n"/>
      <c r="K8" s="7" t="n"/>
    </row>
    <row r="9" ht="36" customHeight="1">
      <c r="B9" s="8" t="inlineStr">
        <is>
          <t>Upside / Downside</t>
        </is>
      </c>
      <c r="C9" s="9" t="inlineStr">
        <is>
          <t>82.4%</t>
        </is>
      </c>
      <c r="E9" s="10" t="inlineStr">
        <is>
          <t>FY25 demonstrated platform execution: 16% revenue growth, 31% GAAP EPS growth, 19% adj. EPS growth, and FCF margin of 32.5%. FY26 guidance raised to $21.34–21.37B (13% growth).</t>
        </is>
      </c>
    </row>
    <row r="10" ht="36" customHeight="1">
      <c r="B10" s="4" t="inlineStr">
        <is>
          <t>Market Cap</t>
        </is>
      </c>
      <c r="C10" s="5" t="inlineStr">
        <is>
          <t>$84.0B</t>
        </is>
      </c>
      <c r="E10" s="6" t="inlineStr">
        <is>
          <t>At ~$307, INTU trades at ~18x TTM P/E vs. ~20x peers — a rare discount for a company with superior growth and FCF profile. We initiate with BUY and $560 PT (12-month).</t>
        </is>
      </c>
      <c r="F10" s="7" t="n"/>
      <c r="G10" s="7" t="n"/>
      <c r="H10" s="7" t="n"/>
      <c r="I10" s="7" t="n"/>
      <c r="J10" s="7" t="n"/>
      <c r="K10" s="7" t="n"/>
    </row>
    <row r="11">
      <c r="B11" s="8" t="inlineStr">
        <is>
          <t>52-Week Range</t>
        </is>
      </c>
      <c r="C11" s="9" t="inlineStr">
        <is>
          <t>$302–$791</t>
        </is>
      </c>
    </row>
    <row r="12">
      <c r="B12" s="4" t="inlineStr">
        <is>
          <t>Shares Out. (Diluted)</t>
        </is>
      </c>
      <c r="C12" s="5" t="inlineStr">
        <is>
          <t>283M</t>
        </is>
      </c>
    </row>
    <row r="13">
      <c r="B13" s="8" t="inlineStr">
        <is>
          <t>FY End</t>
        </is>
      </c>
      <c r="C13" s="9" t="inlineStr">
        <is>
          <t>July 31</t>
        </is>
      </c>
    </row>
    <row r="14"/>
    <row r="15">
      <c r="B15" s="3" t="inlineStr">
        <is>
          <t>FINANCIAL SUMMARY (USD millions, except EPS and per share data)</t>
        </is>
      </c>
    </row>
    <row r="16">
      <c r="B16" s="11" t="inlineStr">
        <is>
          <t>Metric</t>
        </is>
      </c>
      <c r="C16" s="11" t="inlineStr">
        <is>
          <t>FY2021A</t>
        </is>
      </c>
      <c r="D16" s="11" t="inlineStr">
        <is>
          <t>FY2022A</t>
        </is>
      </c>
      <c r="E16" s="11" t="inlineStr">
        <is>
          <t>FY2023A</t>
        </is>
      </c>
      <c r="F16" s="11" t="inlineStr">
        <is>
          <t>FY2024A</t>
        </is>
      </c>
      <c r="G16" s="11" t="inlineStr">
        <is>
          <t>FY2025A</t>
        </is>
      </c>
      <c r="H16" s="11" t="inlineStr">
        <is>
          <t>FY2026E</t>
        </is>
      </c>
      <c r="I16" s="11" t="inlineStr">
        <is>
          <t>FY2027E</t>
        </is>
      </c>
      <c r="J16" s="11" t="inlineStr">
        <is>
          <t>FY2028E</t>
        </is>
      </c>
      <c r="K16" s="11" t="n"/>
    </row>
    <row r="17" ht="16" customHeight="1">
      <c r="B17" s="12" t="inlineStr">
        <is>
          <t>Revenue</t>
        </is>
      </c>
      <c r="C17" s="13" t="n">
        <v>9633</v>
      </c>
      <c r="D17" s="13" t="n">
        <v>12726</v>
      </c>
      <c r="E17" s="13" t="n">
        <v>14368</v>
      </c>
      <c r="F17" s="13" t="n">
        <v>16285</v>
      </c>
      <c r="G17" s="13" t="n">
        <v>18831</v>
      </c>
      <c r="H17" s="13" t="n">
        <v>21358</v>
      </c>
      <c r="I17" s="13" t="n">
        <v>23877</v>
      </c>
      <c r="J17" s="13" t="n">
        <v>26713</v>
      </c>
      <c r="K17" s="7" t="n"/>
    </row>
    <row r="18" ht="16" customHeight="1">
      <c r="B18" s="14" t="inlineStr">
        <is>
          <t xml:space="preserve">  YoY Growth</t>
        </is>
      </c>
      <c r="C18" s="15" t="inlineStr">
        <is>
          <t>—</t>
        </is>
      </c>
      <c r="D18" s="16" t="n">
        <v>32.1</v>
      </c>
      <c r="E18" s="16" t="n">
        <v>12.9</v>
      </c>
      <c r="F18" s="16" t="n">
        <v>13.3</v>
      </c>
      <c r="G18" s="16" t="n">
        <v>15.6</v>
      </c>
      <c r="H18" s="16" t="n">
        <v>13.4</v>
      </c>
      <c r="I18" s="16" t="n">
        <v>11.8</v>
      </c>
      <c r="J18" s="16" t="n">
        <v>11.9</v>
      </c>
    </row>
    <row r="19" ht="16" customHeight="1">
      <c r="B19" s="12" t="inlineStr">
        <is>
          <t>Gross Profit</t>
        </is>
      </c>
      <c r="C19" s="13" t="n">
        <v>8000</v>
      </c>
      <c r="D19" s="13" t="n">
        <v>10460</v>
      </c>
      <c r="E19" s="13" t="n">
        <v>11388</v>
      </c>
      <c r="F19" s="13" t="n">
        <v>12966</v>
      </c>
      <c r="G19" s="13" t="n">
        <v>15139</v>
      </c>
      <c r="H19" s="13" t="n">
        <v>17528</v>
      </c>
      <c r="I19" s="13" t="n">
        <v>19578</v>
      </c>
      <c r="J19" s="13" t="n">
        <v>21833</v>
      </c>
      <c r="K19" s="7" t="n"/>
    </row>
    <row r="20" ht="16" customHeight="1">
      <c r="B20" s="14" t="inlineStr">
        <is>
          <t xml:space="preserve">  Gross Margin</t>
        </is>
      </c>
      <c r="C20" s="16" t="n">
        <v>83.09999999999999</v>
      </c>
      <c r="D20" s="16" t="n">
        <v>82.2</v>
      </c>
      <c r="E20" s="16" t="n">
        <v>79.3</v>
      </c>
      <c r="F20" s="16" t="n">
        <v>79.59999999999999</v>
      </c>
      <c r="G20" s="16" t="n">
        <v>80.40000000000001</v>
      </c>
      <c r="H20" s="16" t="n">
        <v>82.09999999999999</v>
      </c>
      <c r="I20" s="16" t="n">
        <v>82</v>
      </c>
      <c r="J20" s="16" t="n">
        <v>81.7</v>
      </c>
    </row>
    <row r="21" ht="16" customHeight="1">
      <c r="B21" s="12" t="inlineStr">
        <is>
          <t>Adj. EBITDA</t>
        </is>
      </c>
      <c r="C21" s="13" t="n">
        <v>2863</v>
      </c>
      <c r="D21" s="13" t="n">
        <v>3317</v>
      </c>
      <c r="E21" s="13" t="n">
        <v>3947</v>
      </c>
      <c r="F21" s="13" t="n">
        <v>4419</v>
      </c>
      <c r="G21" s="13" t="n">
        <v>5732</v>
      </c>
      <c r="H21" s="13" t="n">
        <v>9053</v>
      </c>
      <c r="I21" s="13" t="n">
        <v>10258</v>
      </c>
      <c r="J21" s="13" t="n">
        <v>11465</v>
      </c>
      <c r="K21" s="7" t="n"/>
    </row>
    <row r="22" ht="16" customHeight="1">
      <c r="B22" s="14" t="inlineStr">
        <is>
          <t xml:space="preserve">  Adj. EBITDA Mrgn</t>
        </is>
      </c>
      <c r="C22" s="16" t="n">
        <v>29.7</v>
      </c>
      <c r="D22" s="16" t="n">
        <v>26.1</v>
      </c>
      <c r="E22" s="16" t="n">
        <v>27.5</v>
      </c>
      <c r="F22" s="16" t="n">
        <v>27.1</v>
      </c>
      <c r="G22" s="16" t="n">
        <v>30.4</v>
      </c>
      <c r="H22" s="16" t="n">
        <v>42.4</v>
      </c>
      <c r="I22" s="16" t="n">
        <v>42.9</v>
      </c>
      <c r="J22" s="16" t="n">
        <v>42.9</v>
      </c>
    </row>
    <row r="23" ht="16" customHeight="1">
      <c r="B23" s="12" t="inlineStr">
        <is>
          <t>GAAP Op. Income</t>
        </is>
      </c>
      <c r="C23" s="13" t="n">
        <v>2531</v>
      </c>
      <c r="D23" s="13" t="n">
        <v>2634</v>
      </c>
      <c r="E23" s="13" t="n">
        <v>3141</v>
      </c>
      <c r="F23" s="13" t="n">
        <v>3853</v>
      </c>
      <c r="G23" s="13" t="n">
        <v>4938</v>
      </c>
      <c r="H23" s="17" t="inlineStr">
        <is>
          <t>—</t>
        </is>
      </c>
      <c r="I23" s="17" t="inlineStr">
        <is>
          <t>—</t>
        </is>
      </c>
      <c r="J23" s="17" t="inlineStr">
        <is>
          <t>—</t>
        </is>
      </c>
      <c r="K23" s="7" t="n"/>
    </row>
    <row r="24" ht="16" customHeight="1">
      <c r="B24" s="14" t="inlineStr">
        <is>
          <t>GAAP Net Income</t>
        </is>
      </c>
      <c r="C24" s="18" t="n">
        <v>2062</v>
      </c>
      <c r="D24" s="18" t="n">
        <v>2066</v>
      </c>
      <c r="E24" s="18" t="n">
        <v>2384</v>
      </c>
      <c r="F24" s="18" t="n">
        <v>2963</v>
      </c>
      <c r="G24" s="18" t="n">
        <v>3869</v>
      </c>
      <c r="H24" s="18" t="n">
        <v>4421</v>
      </c>
      <c r="I24" s="18" t="n">
        <v>5438</v>
      </c>
      <c r="J24" s="18" t="n">
        <v>6440</v>
      </c>
    </row>
    <row r="25" ht="16" customHeight="1">
      <c r="B25" s="12" t="inlineStr">
        <is>
          <t>GAAP EPS (Diluted)</t>
        </is>
      </c>
      <c r="C25" s="19" t="n">
        <v>7.56</v>
      </c>
      <c r="D25" s="19" t="n">
        <v>7.28</v>
      </c>
      <c r="E25" s="19" t="n">
        <v>8.42</v>
      </c>
      <c r="F25" s="19" t="n">
        <v>10.43</v>
      </c>
      <c r="G25" s="19" t="n">
        <v>13.67</v>
      </c>
      <c r="H25" s="17" t="inlineStr">
        <is>
          <t>—</t>
        </is>
      </c>
      <c r="I25" s="17" t="inlineStr">
        <is>
          <t>—</t>
        </is>
      </c>
      <c r="J25" s="17" t="inlineStr">
        <is>
          <t>—</t>
        </is>
      </c>
      <c r="K25" s="7" t="n"/>
    </row>
    <row r="26" ht="16" customHeight="1">
      <c r="B26" s="14" t="inlineStr">
        <is>
          <t>Adj. EPS</t>
        </is>
      </c>
      <c r="C26" s="20" t="n">
        <v>9.74</v>
      </c>
      <c r="D26" s="20" t="n">
        <v>11.85</v>
      </c>
      <c r="E26" s="20" t="n">
        <v>14.4</v>
      </c>
      <c r="F26" s="20" t="n">
        <v>16.94</v>
      </c>
      <c r="G26" s="20" t="n">
        <v>20.15</v>
      </c>
      <c r="H26" s="20" t="n">
        <v>24.55</v>
      </c>
      <c r="I26" s="20" t="n">
        <v>28.68</v>
      </c>
      <c r="J26" s="20" t="n">
        <v>31.42</v>
      </c>
    </row>
    <row r="27" ht="16" customHeight="1">
      <c r="B27" s="12" t="inlineStr">
        <is>
          <t>Free Cash Flow</t>
        </is>
      </c>
      <c r="C27" s="13" t="n">
        <v>3197</v>
      </c>
      <c r="D27" s="13" t="n">
        <v>3732</v>
      </c>
      <c r="E27" s="13" t="n">
        <v>4836</v>
      </c>
      <c r="F27" s="13" t="n">
        <v>4693</v>
      </c>
      <c r="G27" s="13" t="n">
        <v>6083</v>
      </c>
      <c r="H27" s="13" t="n">
        <v>7845</v>
      </c>
      <c r="I27" s="13" t="n">
        <v>8239</v>
      </c>
      <c r="J27" s="13" t="n">
        <v>8972</v>
      </c>
      <c r="K27" s="7" t="n"/>
    </row>
    <row r="28" ht="16" customHeight="1">
      <c r="B28" s="14" t="inlineStr">
        <is>
          <t xml:space="preserve">  FCF Margin</t>
        </is>
      </c>
      <c r="C28" s="16" t="n">
        <v>33.2</v>
      </c>
      <c r="D28" s="16" t="n">
        <v>29.3</v>
      </c>
      <c r="E28" s="16" t="n">
        <v>33.7</v>
      </c>
      <c r="F28" s="16" t="n">
        <v>28.8</v>
      </c>
      <c r="G28" s="16" t="n">
        <v>32.3</v>
      </c>
      <c r="H28" s="16" t="n">
        <v>36.7</v>
      </c>
      <c r="I28" s="16" t="n">
        <v>34.5</v>
      </c>
      <c r="J28" s="16" t="n">
        <v>33.6</v>
      </c>
    </row>
    <row r="29" ht="16" customHeight="1">
      <c r="B29" s="12" t="inlineStr">
        <is>
          <t>Adj. FCF</t>
        </is>
      </c>
      <c r="C29" s="13" t="n">
        <v>3178</v>
      </c>
      <c r="D29" s="13" t="n">
        <v>3732</v>
      </c>
      <c r="E29" s="13" t="n">
        <v>4836</v>
      </c>
      <c r="F29" s="13" t="n">
        <v>4693</v>
      </c>
      <c r="G29" s="13" t="n">
        <v>6123</v>
      </c>
      <c r="H29" s="17" t="inlineStr">
        <is>
          <t>—</t>
        </is>
      </c>
      <c r="I29" s="17" t="inlineStr">
        <is>
          <t>—</t>
        </is>
      </c>
      <c r="J29" s="17" t="inlineStr">
        <is>
          <t>—</t>
        </is>
      </c>
      <c r="K29" s="7" t="n"/>
    </row>
    <row r="30" ht="16" customHeight="1">
      <c r="B30" s="14" t="inlineStr">
        <is>
          <t>CapEx</t>
        </is>
      </c>
      <c r="C30" s="18" t="n">
        <v>-53</v>
      </c>
      <c r="D30" s="18" t="n">
        <v>-157</v>
      </c>
      <c r="E30" s="18" t="n">
        <v>-210</v>
      </c>
      <c r="F30" s="18" t="n">
        <v>-191</v>
      </c>
      <c r="G30" s="18" t="n">
        <v>-124</v>
      </c>
      <c r="H30" s="15" t="inlineStr">
        <is>
          <t>—</t>
        </is>
      </c>
      <c r="I30" s="15" t="inlineStr">
        <is>
          <t>—</t>
        </is>
      </c>
      <c r="J30" s="15" t="inlineStr">
        <is>
          <t>—</t>
        </is>
      </c>
    </row>
    <row r="31">
      <c r="B31" s="21" t="n"/>
      <c r="C31" s="21" t="n"/>
      <c r="D31" s="21" t="n"/>
      <c r="E31" s="21" t="n"/>
      <c r="F31" s="21" t="n"/>
      <c r="G31" s="21" t="n"/>
      <c r="H31" s="21" t="n"/>
      <c r="I31" s="21" t="n"/>
      <c r="J31" s="21" t="n"/>
      <c r="K31" s="21" t="n"/>
    </row>
    <row r="32"/>
    <row r="33">
      <c r="B33" s="22" t="inlineStr">
        <is>
          <t>VALUATION SUMMARY</t>
        </is>
      </c>
    </row>
    <row r="34">
      <c r="B34" s="11" t="inlineStr">
        <is>
          <t>Methodology</t>
        </is>
      </c>
      <c r="C34" s="11" t="inlineStr">
        <is>
          <t>Weight</t>
        </is>
      </c>
      <c r="D34" s="11" t="inlineStr">
        <is>
          <t>Implied Price</t>
        </is>
      </c>
      <c r="E34" s="11" t="inlineStr">
        <is>
          <t>Notes</t>
        </is>
      </c>
      <c r="F34" s="11" t="inlineStr"/>
    </row>
    <row r="35">
      <c r="B35" s="23" t="inlineStr">
        <is>
          <t>DCF (Base Case)</t>
        </is>
      </c>
      <c r="C35" s="24" t="inlineStr">
        <is>
          <t>50%</t>
        </is>
      </c>
      <c r="D35" s="24" t="inlineStr">
        <is>
          <t>$548</t>
        </is>
      </c>
      <c r="E35" s="24" t="inlineStr">
        <is>
          <t>WACC 8.3%, TGR 3.5%, 5-yr FCF proj.</t>
        </is>
      </c>
    </row>
    <row r="36">
      <c r="B36" s="25" t="inlineStr">
        <is>
          <t>Comps — EV/EBITDA</t>
        </is>
      </c>
      <c r="C36" s="15" t="inlineStr">
        <is>
          <t>25%</t>
        </is>
      </c>
      <c r="D36" s="15" t="inlineStr">
        <is>
          <t>$588</t>
        </is>
      </c>
      <c r="E36" s="15" t="inlineStr">
        <is>
          <t>18x NTM Adj. EBITDA (~peer median)</t>
        </is>
      </c>
    </row>
    <row r="37">
      <c r="B37" s="23" t="inlineStr">
        <is>
          <t>Comps — P/E</t>
        </is>
      </c>
      <c r="C37" s="24" t="inlineStr">
        <is>
          <t>25%</t>
        </is>
      </c>
      <c r="D37" s="24" t="inlineStr">
        <is>
          <t>$545</t>
        </is>
      </c>
      <c r="E37" s="24" t="inlineStr">
        <is>
          <t>22x NTM Adj. EPS ($24.55 FY26E)</t>
        </is>
      </c>
    </row>
    <row r="38">
      <c r="B38" s="26" t="inlineStr">
        <is>
          <t>Blended Price Target</t>
        </is>
      </c>
      <c r="C38" s="27" t="inlineStr"/>
      <c r="D38" s="27" t="inlineStr">
        <is>
          <t>$560</t>
        </is>
      </c>
      <c r="E38" s="27" t="inlineStr">
        <is>
          <t>50% DCF / 50% Comps (avg.)</t>
        </is>
      </c>
    </row>
    <row r="39"/>
    <row r="40"/>
    <row r="41">
      <c r="B41" s="22" t="inlineStr">
        <is>
          <t>KEY CATALYSTS (12-18 months)</t>
        </is>
      </c>
      <c r="G41" s="28" t="inlineStr">
        <is>
          <t>KEY RISKS</t>
        </is>
      </c>
    </row>
    <row r="42" ht="28" customHeight="1">
      <c r="B42" s="29" t="inlineStr">
        <is>
          <t>1. AI Agent Monetization: TurboTax Live + QuickBooks Assisted products crossing 50%+ revenue mix, triggering EBITDA margin re-rating toward 40%+</t>
        </is>
      </c>
      <c r="G42" s="30" t="inlineStr">
        <is>
          <t>1. AI Disruption: Free/low-cost AI tax tools (Claude, ChatGPT, etc.) eroding TurboTax pricing power; IRS Direct File program expansion</t>
        </is>
      </c>
      <c r="H42" s="31" t="n"/>
      <c r="I42" s="31" t="n"/>
      <c r="J42" s="31" t="n"/>
      <c r="K42" s="31" t="n"/>
    </row>
    <row r="43" ht="28" customHeight="1">
      <c r="B43" s="29" t="inlineStr">
        <is>
          <t>2. Enterprise Suite scaling: Mid-market bookings acceleration — each $1B of INTU Enterprise Suite revenue adds ~$200M incremental op. income</t>
        </is>
      </c>
      <c r="G43" s="30" t="inlineStr">
        <is>
          <t>2. Macro / Credit: Credit Karma revenue tied to consumer credit conditions; rate environment affects personal loan and mortgage marketplace volumes</t>
        </is>
      </c>
      <c r="H43" s="31" t="n"/>
      <c r="I43" s="31" t="n"/>
      <c r="J43" s="31" t="n"/>
      <c r="K43" s="31" t="n"/>
    </row>
    <row r="44" ht="28" customHeight="1">
      <c r="B44" s="29" t="inlineStr">
        <is>
          <t>3. Credit Karma recovery: Macro improvement unlocks personal finance / insurance marketplace rebound; mgmt guided for CK to contribute 1pt group growth in FY26</t>
        </is>
      </c>
      <c r="G44" s="30" t="inlineStr">
        <is>
          <t>3. Execution risk: 17% workforce reduction (3,000+ employees) in May 2026 introduces integration/retention risk amid AI platform transition</t>
        </is>
      </c>
      <c r="H44" s="31" t="n"/>
      <c r="I44" s="31" t="n"/>
      <c r="J44" s="31" t="n"/>
      <c r="K44" s="31" t="n"/>
    </row>
    <row r="45"/>
    <row r="46"/>
    <row r="47" ht="12" customHeight="1"/>
    <row r="48">
      <c r="B48" s="32" t="inlineStr">
        <is>
          <t>Sources: Intuit IR, StockAnalysis, Consensus Estimates, AlphaSpread WACC, Internal Analysis. All figures in USD millions unless noted. Generated: May 22, 2026.</t>
        </is>
      </c>
    </row>
  </sheetData>
  <mergeCells count="20">
    <mergeCell ref="G43:K43"/>
    <mergeCell ref="G42:K42"/>
    <mergeCell ref="B15:K15"/>
    <mergeCell ref="E7:K7"/>
    <mergeCell ref="B33:K33"/>
    <mergeCell ref="B43:F43"/>
    <mergeCell ref="B42:F42"/>
    <mergeCell ref="B3:K3"/>
    <mergeCell ref="E5:K5"/>
    <mergeCell ref="B44:F44"/>
    <mergeCell ref="E8:K8"/>
    <mergeCell ref="B2:K2"/>
    <mergeCell ref="E10:K10"/>
    <mergeCell ref="B48:K48"/>
    <mergeCell ref="E9:K9"/>
    <mergeCell ref="B5:C5"/>
    <mergeCell ref="G44:K44"/>
    <mergeCell ref="E6:K6"/>
    <mergeCell ref="G41:K41"/>
    <mergeCell ref="B41:F41"/>
  </mergeCells>
  <pageMargins left="0.75" right="0.75" top="1" bottom="1" header="0.5" footer="0.5"/>
</worksheet>
</file>

<file path=xl/worksheets/sheet2.xml><?xml version="1.0" encoding="utf-8"?>
<worksheet xmlns="http://schemas.openxmlformats.org/spreadsheetml/2006/main">
  <sheetPr>
    <tabColor rgb="002E5899"/>
    <outlinePr summaryBelow="1" summaryRight="1"/>
    <pageSetUpPr/>
  </sheetPr>
  <dimension ref="A1:Q21"/>
  <sheetViews>
    <sheetView showGridLines="0" workbookViewId="0">
      <selection activeCell="A1" sqref="A1"/>
    </sheetView>
  </sheetViews>
  <sheetFormatPr baseColWidth="8" defaultRowHeight="15" outlineLevelCol="0"/>
  <cols>
    <col width="3" customWidth="1" min="1" max="1"/>
    <col width="3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6" customHeight="1"/>
    <row r="2" ht="22" customHeight="1">
      <c r="B2" s="33" t="inlineStr">
        <is>
          <t>INTUIT INC. — SEGMENT REVENUE MODEL (USD millions)</t>
        </is>
      </c>
    </row>
    <row r="3">
      <c r="B3" s="34" t="inlineStr">
        <is>
          <t>Fiscal Year Ending July 31 | Historical (A) + Projected Bull / Base / Bear Scenarios</t>
        </is>
      </c>
    </row>
    <row r="4"/>
    <row r="5">
      <c r="B5" s="11" t="inlineStr">
        <is>
          <t>Segment / Metric</t>
        </is>
      </c>
      <c r="C5" s="11" t="inlineStr">
        <is>
          <t>FY2021A</t>
        </is>
      </c>
      <c r="D5" s="11" t="inlineStr">
        <is>
          <t>FY2022A</t>
        </is>
      </c>
      <c r="E5" s="11" t="inlineStr">
        <is>
          <t>FY2023A</t>
        </is>
      </c>
      <c r="F5" s="11" t="inlineStr">
        <is>
          <t>FY2024A</t>
        </is>
      </c>
      <c r="G5" s="11" t="inlineStr">
        <is>
          <t>FY2025A</t>
        </is>
      </c>
      <c r="H5" s="35" t="inlineStr">
        <is>
          <t>FY26 Bull</t>
        </is>
      </c>
      <c r="I5" s="35" t="inlineStr">
        <is>
          <t>FY26 Base</t>
        </is>
      </c>
      <c r="J5" s="35" t="inlineStr">
        <is>
          <t>FY26 Bear</t>
        </is>
      </c>
      <c r="K5" s="35" t="inlineStr">
        <is>
          <t>FY27 Base</t>
        </is>
      </c>
      <c r="L5" s="35" t="inlineStr">
        <is>
          <t>FY28 Base</t>
        </is>
      </c>
      <c r="M5" s="35" t="inlineStr">
        <is>
          <t>FY29 Base</t>
        </is>
      </c>
      <c r="N5" s="35" t="inlineStr">
        <is>
          <t>FY30 Base</t>
        </is>
      </c>
      <c r="O5" s="11" t="n"/>
      <c r="P5" s="11" t="n"/>
      <c r="Q5" s="11" t="n"/>
    </row>
    <row r="6" ht="16" customHeight="1">
      <c r="B6" s="36" t="inlineStr">
        <is>
          <t>Global Business Solutions (GBSG)</t>
        </is>
      </c>
      <c r="C6" s="13" t="n">
        <v>5165</v>
      </c>
      <c r="D6" s="13" t="n">
        <v>7132</v>
      </c>
      <c r="E6" s="13" t="n">
        <v>8378</v>
      </c>
      <c r="F6" s="13" t="n">
        <v>9627</v>
      </c>
      <c r="G6" s="13" t="n">
        <v>11085</v>
      </c>
      <c r="H6" s="13" t="n">
        <v>13000</v>
      </c>
      <c r="I6" s="13" t="n">
        <v>11900</v>
      </c>
      <c r="J6" s="13" t="n">
        <v>11100</v>
      </c>
      <c r="K6" s="13" t="n">
        <v>13400</v>
      </c>
      <c r="L6" s="13" t="n">
        <v>15000</v>
      </c>
      <c r="M6" s="13" t="n">
        <v>16600</v>
      </c>
      <c r="N6" s="13" t="n">
        <v>18300</v>
      </c>
      <c r="O6" s="7" t="n"/>
    </row>
    <row r="7" ht="16" customHeight="1">
      <c r="B7" s="14" t="inlineStr">
        <is>
          <t xml:space="preserve">  Online Ecosystem</t>
        </is>
      </c>
      <c r="C7" s="18" t="n">
        <v>3543</v>
      </c>
      <c r="D7" s="18" t="n">
        <v>4979</v>
      </c>
      <c r="E7" s="18" t="n">
        <v>6010</v>
      </c>
      <c r="F7" s="18" t="n">
        <v>6902</v>
      </c>
      <c r="G7" s="18" t="n">
        <v>8290</v>
      </c>
    </row>
    <row r="8" ht="16" customHeight="1">
      <c r="B8" s="36" t="inlineStr">
        <is>
          <t>Consumer (TurboTax)</t>
        </is>
      </c>
      <c r="C8" s="13" t="n">
        <v>3547</v>
      </c>
      <c r="D8" s="13" t="n">
        <v>3942</v>
      </c>
      <c r="E8" s="13" t="n">
        <v>4302</v>
      </c>
      <c r="F8" s="13" t="n">
        <v>4682</v>
      </c>
      <c r="G8" s="13" t="n">
        <v>4884</v>
      </c>
      <c r="H8" s="13" t="n">
        <v>5400</v>
      </c>
      <c r="I8" s="13" t="n">
        <v>5200</v>
      </c>
      <c r="J8" s="13" t="n">
        <v>4900</v>
      </c>
      <c r="K8" s="13" t="n">
        <v>5560</v>
      </c>
      <c r="L8" s="13" t="n">
        <v>5900</v>
      </c>
      <c r="M8" s="13" t="n">
        <v>6250</v>
      </c>
      <c r="N8" s="13" t="n">
        <v>6560</v>
      </c>
      <c r="O8" s="7" t="n"/>
    </row>
    <row r="9" ht="16" customHeight="1">
      <c r="B9" s="37" t="inlineStr">
        <is>
          <t>Credit Karma</t>
        </is>
      </c>
      <c r="D9" s="18" t="n">
        <v>1808</v>
      </c>
      <c r="E9" s="18" t="n">
        <v>1679</v>
      </c>
      <c r="F9" s="18" t="n">
        <v>1717</v>
      </c>
      <c r="G9" s="18" t="n">
        <v>1751</v>
      </c>
      <c r="H9" s="18" t="n">
        <v>2350</v>
      </c>
      <c r="I9" s="18" t="n">
        <v>2100</v>
      </c>
      <c r="J9" s="18" t="n">
        <v>1800</v>
      </c>
      <c r="K9" s="18" t="n">
        <v>2480</v>
      </c>
      <c r="L9" s="18" t="n">
        <v>2850</v>
      </c>
      <c r="M9" s="18" t="n">
        <v>3220</v>
      </c>
      <c r="N9" s="18" t="n">
        <v>3570</v>
      </c>
    </row>
    <row r="10" ht="16" customHeight="1">
      <c r="B10" s="12" t="inlineStr">
        <is>
          <t>ProConnect / Other</t>
        </is>
      </c>
      <c r="C10" s="13" t="n">
        <v>921</v>
      </c>
      <c r="D10" s="13" t="n">
        <v>843</v>
      </c>
      <c r="E10" s="7" t="n"/>
      <c r="F10" s="7" t="n"/>
      <c r="G10" s="7" t="n"/>
      <c r="H10" s="7" t="n"/>
      <c r="I10" s="7" t="n"/>
      <c r="J10" s="7" t="n"/>
      <c r="K10" s="7" t="n"/>
      <c r="L10" s="7" t="n"/>
      <c r="M10" s="7" t="n"/>
      <c r="N10" s="7" t="n"/>
      <c r="O10" s="7" t="n"/>
    </row>
    <row r="11" ht="16" customHeight="1">
      <c r="B11" s="38" t="inlineStr">
        <is>
          <t>Total Revenue</t>
        </is>
      </c>
      <c r="C11" s="39" t="n">
        <v>9633</v>
      </c>
      <c r="D11" s="39" t="n">
        <v>12726</v>
      </c>
      <c r="E11" s="39" t="n">
        <v>14368</v>
      </c>
      <c r="F11" s="39" t="n">
        <v>16285</v>
      </c>
      <c r="G11" s="39" t="n">
        <v>18831</v>
      </c>
      <c r="H11" s="39" t="n">
        <v>21800</v>
      </c>
      <c r="I11" s="39" t="n">
        <v>21358</v>
      </c>
      <c r="J11" s="39" t="n">
        <v>20100</v>
      </c>
      <c r="K11" s="39" t="n">
        <v>23877</v>
      </c>
      <c r="L11" s="39" t="n">
        <v>26713</v>
      </c>
      <c r="M11" s="39" t="n">
        <v>29640</v>
      </c>
      <c r="N11" s="39" t="n">
        <v>32800</v>
      </c>
      <c r="O11" s="40" t="n"/>
    </row>
    <row r="12" ht="16" customHeight="1">
      <c r="B12" s="12" t="inlineStr">
        <is>
          <t xml:space="preserve">  YoY Growth %</t>
        </is>
      </c>
      <c r="C12" s="7" t="n"/>
      <c r="D12" s="41" t="n">
        <v>32.1</v>
      </c>
      <c r="E12" s="41" t="n">
        <v>12.9</v>
      </c>
      <c r="F12" s="41" t="n">
        <v>13.3</v>
      </c>
      <c r="G12" s="41" t="n">
        <v>15.6</v>
      </c>
      <c r="H12" s="7" t="n"/>
      <c r="I12" s="7" t="n"/>
      <c r="J12" s="7" t="n"/>
      <c r="K12" s="7" t="n"/>
      <c r="L12" s="7" t="n"/>
      <c r="M12" s="7" t="n"/>
      <c r="N12" s="7" t="n"/>
      <c r="O12" s="7" t="n"/>
    </row>
    <row r="13"/>
    <row r="14">
      <c r="B14" s="22" t="inlineStr">
        <is>
          <t>REVENUE GROWTH ASSUMPTIONS BY SCENARIO</t>
        </is>
      </c>
    </row>
    <row r="15">
      <c r="B15" s="35" t="inlineStr">
        <is>
          <t>Scenario / Segment</t>
        </is>
      </c>
      <c r="C15" s="35" t="inlineStr">
        <is>
          <t>FY26E</t>
        </is>
      </c>
      <c r="D15" s="35" t="inlineStr">
        <is>
          <t>FY27E</t>
        </is>
      </c>
      <c r="E15" s="35" t="inlineStr">
        <is>
          <t>FY28E</t>
        </is>
      </c>
      <c r="F15" s="35" t="inlineStr">
        <is>
          <t>FY29E</t>
        </is>
      </c>
      <c r="G15" s="35" t="inlineStr">
        <is>
          <t>FY30E</t>
        </is>
      </c>
      <c r="H15" s="35" t="inlineStr"/>
      <c r="I15" s="35" t="inlineStr">
        <is>
          <t>Rev CAGR FY25–30</t>
        </is>
      </c>
      <c r="J15" s="35" t="n"/>
      <c r="K15" s="35" t="n"/>
      <c r="L15" s="35" t="n"/>
      <c r="M15" s="35" t="n"/>
      <c r="N15" s="35" t="n"/>
    </row>
    <row r="16" ht="15" customHeight="1">
      <c r="B16" s="42" t="inlineStr">
        <is>
          <t>BULL — Total Revenue</t>
        </is>
      </c>
      <c r="C16" s="43" t="n">
        <v>0.16</v>
      </c>
      <c r="D16" s="43" t="n">
        <v>0.156</v>
      </c>
      <c r="E16" s="43" t="n">
        <v>0.147</v>
      </c>
      <c r="F16" s="43" t="n">
        <v>0.138</v>
      </c>
      <c r="G16" s="43" t="n">
        <v>0.131</v>
      </c>
      <c r="H16" s="44" t="n"/>
      <c r="I16" s="45" t="n">
        <v>0.152</v>
      </c>
    </row>
    <row r="17" ht="15" customHeight="1">
      <c r="B17" s="46" t="inlineStr">
        <is>
          <t>BASE — Total Revenue</t>
        </is>
      </c>
      <c r="C17" s="43" t="n">
        <v>0.134</v>
      </c>
      <c r="D17" s="43" t="n">
        <v>0.118</v>
      </c>
      <c r="E17" s="43" t="n">
        <v>0.119</v>
      </c>
      <c r="F17" s="43" t="n">
        <v>0.109</v>
      </c>
      <c r="G17" s="43" t="n">
        <v>0.107</v>
      </c>
      <c r="I17" s="45" t="n">
        <v>0.121</v>
      </c>
    </row>
    <row r="18" ht="15" customHeight="1">
      <c r="B18" s="42" t="inlineStr">
        <is>
          <t>BEAR — Total Revenue</t>
        </is>
      </c>
      <c r="C18" s="43" t="n">
        <v>0.067</v>
      </c>
      <c r="D18" s="43" t="n">
        <v>0.095</v>
      </c>
      <c r="E18" s="43" t="n">
        <v>0.08199999999999999</v>
      </c>
      <c r="F18" s="43" t="n">
        <v>0.076</v>
      </c>
      <c r="G18" s="43" t="n">
        <v>0.07000000000000001</v>
      </c>
      <c r="H18" s="44" t="n"/>
      <c r="I18" s="45" t="n">
        <v>0.078</v>
      </c>
    </row>
    <row r="19" ht="15" customHeight="1">
      <c r="B19" s="46" t="inlineStr">
        <is>
          <t>BASE — GBSG</t>
        </is>
      </c>
      <c r="C19" s="43" t="n">
        <v>0.146</v>
      </c>
      <c r="D19" s="43" t="n">
        <v>0.126</v>
      </c>
      <c r="E19" s="43" t="n">
        <v>0.119</v>
      </c>
      <c r="F19" s="43" t="n">
        <v>0.107</v>
      </c>
      <c r="G19" s="43" t="n">
        <v>0.096</v>
      </c>
      <c r="I19" s="45" t="n">
        <v>0.119</v>
      </c>
    </row>
    <row r="20" ht="15" customHeight="1">
      <c r="B20" s="47" t="inlineStr">
        <is>
          <t>BASE — Consumer</t>
        </is>
      </c>
      <c r="C20" s="43" t="n">
        <v>0.065</v>
      </c>
      <c r="D20" s="43" t="n">
        <v>0.06900000000000001</v>
      </c>
      <c r="E20" s="43" t="n">
        <v>0.061</v>
      </c>
      <c r="F20" s="43" t="n">
        <v>0.059</v>
      </c>
      <c r="G20" s="43" t="n">
        <v>0.05</v>
      </c>
      <c r="H20" s="44" t="n"/>
      <c r="I20" s="45" t="n">
        <v>0.061</v>
      </c>
    </row>
    <row r="21" ht="15" customHeight="1">
      <c r="B21" s="46" t="inlineStr">
        <is>
          <t>BASE — Credit Karma</t>
        </is>
      </c>
      <c r="C21" s="43" t="n">
        <v>0.199</v>
      </c>
      <c r="D21" s="43" t="n">
        <v>0.181</v>
      </c>
      <c r="E21" s="43" t="n">
        <v>0.149</v>
      </c>
      <c r="F21" s="43" t="n">
        <v>0.13</v>
      </c>
      <c r="G21" s="43" t="n">
        <v>0.109</v>
      </c>
      <c r="I21" s="45" t="n">
        <v>0.153</v>
      </c>
    </row>
  </sheetData>
  <mergeCells count="3">
    <mergeCell ref="B2:Q2"/>
    <mergeCell ref="B14:N14"/>
    <mergeCell ref="B3:Q3"/>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O3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outlineLevelCol="0"/>
  <cols>
    <col width="3" customWidth="1" min="1" max="1"/>
    <col width="3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6" customHeight="1"/>
    <row r="2" ht="22" customHeight="1">
      <c r="B2" s="33" t="inlineStr">
        <is>
          <t>INTUIT INC. — INCOME STATEMENT (USD millions, Base Case)</t>
        </is>
      </c>
    </row>
    <row r="3">
      <c r="B3" s="34" t="inlineStr">
        <is>
          <t>Fiscal Year Ending July 31 | FY2021A–FY2025A Historical | FY2026E–FY2030E Base Case Projections</t>
        </is>
      </c>
    </row>
    <row r="4"/>
    <row r="5" ht="15" customHeight="1">
      <c r="B5" s="38" t="inlineStr">
        <is>
          <t>Revenue</t>
        </is>
      </c>
      <c r="C5" s="48" t="n">
        <v>9633</v>
      </c>
      <c r="D5" s="48" t="n">
        <v>12726</v>
      </c>
      <c r="E5" s="48" t="n">
        <v>14368</v>
      </c>
      <c r="F5" s="48" t="n">
        <v>16285</v>
      </c>
      <c r="G5" s="48" t="n">
        <v>18831</v>
      </c>
      <c r="H5" s="48" t="n">
        <v>21358</v>
      </c>
      <c r="I5" s="48" t="n">
        <v>23877</v>
      </c>
      <c r="J5" s="48" t="n">
        <v>26713</v>
      </c>
      <c r="K5" s="48" t="n">
        <v>29640</v>
      </c>
      <c r="L5" s="48" t="n">
        <v>32800</v>
      </c>
      <c r="M5" s="49" t="n"/>
      <c r="N5" s="49" t="n"/>
      <c r="O5" s="49" t="n"/>
    </row>
    <row r="6" ht="15" customHeight="1">
      <c r="B6" s="12" t="inlineStr">
        <is>
          <t xml:space="preserve">  YoY Growth</t>
        </is>
      </c>
      <c r="C6" s="7" t="n"/>
      <c r="D6" s="41" t="n">
        <v>0.321</v>
      </c>
      <c r="E6" s="41" t="n">
        <v>0.129</v>
      </c>
      <c r="F6" s="41" t="n">
        <v>0.133</v>
      </c>
      <c r="G6" s="41" t="n">
        <v>0.156</v>
      </c>
      <c r="H6" s="50" t="n">
        <v>0.134</v>
      </c>
      <c r="I6" s="50" t="n">
        <v>0.118</v>
      </c>
      <c r="J6" s="50" t="n">
        <v>0.119</v>
      </c>
      <c r="K6" s="50" t="n">
        <v>0.109</v>
      </c>
      <c r="L6" s="50" t="n">
        <v>0.106</v>
      </c>
      <c r="M6" s="7" t="n"/>
      <c r="N6" s="7" t="n"/>
      <c r="O6" s="7" t="n"/>
    </row>
    <row r="7" ht="15" customHeight="1">
      <c r="B7" s="14" t="inlineStr">
        <is>
          <t>Cost of Revenue</t>
        </is>
      </c>
      <c r="C7" s="18" t="n">
        <v>1633</v>
      </c>
      <c r="D7" s="18" t="n">
        <v>2266</v>
      </c>
      <c r="E7" s="18" t="n">
        <v>2980</v>
      </c>
      <c r="F7" s="18" t="n">
        <v>3319</v>
      </c>
      <c r="G7" s="18" t="n">
        <v>3692</v>
      </c>
      <c r="H7" s="51" t="n">
        <v>3806</v>
      </c>
      <c r="I7" s="51" t="n">
        <v>4278</v>
      </c>
      <c r="J7" s="51" t="n">
        <v>4877</v>
      </c>
      <c r="K7" s="51" t="n">
        <v>5335</v>
      </c>
      <c r="L7" s="51" t="n">
        <v>5904</v>
      </c>
    </row>
    <row r="8" ht="15" customHeight="1">
      <c r="B8" s="52" t="inlineStr">
        <is>
          <t>Gross Profit</t>
        </is>
      </c>
      <c r="C8" s="53" t="n">
        <v>8000</v>
      </c>
      <c r="D8" s="53" t="n">
        <v>10460</v>
      </c>
      <c r="E8" s="53" t="n">
        <v>11388</v>
      </c>
      <c r="F8" s="53" t="n">
        <v>12966</v>
      </c>
      <c r="G8" s="53" t="n">
        <v>15139</v>
      </c>
      <c r="H8" s="53" t="n">
        <v>17552</v>
      </c>
      <c r="I8" s="53" t="n">
        <v>19599</v>
      </c>
      <c r="J8" s="53" t="n">
        <v>21836</v>
      </c>
      <c r="K8" s="53" t="n">
        <v>24305</v>
      </c>
      <c r="L8" s="53" t="n">
        <v>26896</v>
      </c>
      <c r="M8" s="54" t="n"/>
      <c r="N8" s="54" t="n"/>
      <c r="O8" s="54" t="n"/>
    </row>
    <row r="9" ht="15" customHeight="1">
      <c r="B9" s="14" t="inlineStr">
        <is>
          <t xml:space="preserve">  Gross Margin</t>
        </is>
      </c>
      <c r="C9" s="16" t="n">
        <v>0.831</v>
      </c>
      <c r="D9" s="16" t="n">
        <v>0.8220000000000001</v>
      </c>
      <c r="E9" s="16" t="n">
        <v>0.7929999999999999</v>
      </c>
      <c r="F9" s="16" t="n">
        <v>0.7959999999999999</v>
      </c>
      <c r="G9" s="16" t="n">
        <v>0.804</v>
      </c>
      <c r="H9" s="55" t="n">
        <v>0.8220000000000001</v>
      </c>
      <c r="I9" s="55" t="n">
        <v>0.821</v>
      </c>
      <c r="J9" s="55" t="n">
        <v>0.8179999999999999</v>
      </c>
      <c r="K9" s="55" t="n">
        <v>0.82</v>
      </c>
      <c r="L9" s="55" t="n">
        <v>0.82</v>
      </c>
    </row>
    <row r="10" ht="15" customHeight="1">
      <c r="B10" s="7" t="n"/>
      <c r="C10" s="7" t="n"/>
      <c r="D10" s="7" t="n"/>
      <c r="E10" s="7" t="n"/>
      <c r="F10" s="7" t="n"/>
      <c r="G10" s="7" t="n"/>
      <c r="H10" s="7" t="n"/>
      <c r="I10" s="7" t="n"/>
      <c r="J10" s="7" t="n"/>
      <c r="K10" s="7" t="n"/>
      <c r="L10" s="7" t="n"/>
      <c r="M10" s="7" t="n"/>
      <c r="N10" s="7" t="n"/>
      <c r="O10" s="7" t="n"/>
    </row>
    <row r="11" ht="15" customHeight="1">
      <c r="B11" s="14" t="inlineStr">
        <is>
          <t>R&amp;D Expense</t>
        </is>
      </c>
      <c r="C11" s="18" t="n">
        <v>1678</v>
      </c>
      <c r="D11" s="18" t="n">
        <v>2347</v>
      </c>
      <c r="E11" s="18" t="n">
        <v>2539</v>
      </c>
      <c r="F11" s="18" t="n">
        <v>2754</v>
      </c>
      <c r="G11" s="18" t="n">
        <v>2928</v>
      </c>
      <c r="H11" s="51" t="n">
        <v>3311</v>
      </c>
      <c r="I11" s="51" t="n">
        <v>3701</v>
      </c>
      <c r="J11" s="51" t="n">
        <v>4140</v>
      </c>
      <c r="K11" s="51" t="n">
        <v>4593</v>
      </c>
      <c r="L11" s="51" t="n">
        <v>5085</v>
      </c>
    </row>
    <row r="12" ht="15" customHeight="1">
      <c r="B12" s="12" t="inlineStr">
        <is>
          <t xml:space="preserve">  % of Revenue</t>
        </is>
      </c>
      <c r="C12" s="41" t="n">
        <v>0.174</v>
      </c>
      <c r="D12" s="41" t="n">
        <v>0.184</v>
      </c>
      <c r="E12" s="41" t="n">
        <v>0.177</v>
      </c>
      <c r="F12" s="41" t="n">
        <v>0.169</v>
      </c>
      <c r="G12" s="41" t="n">
        <v>0.156</v>
      </c>
      <c r="H12" s="50" t="n">
        <v>0.155</v>
      </c>
      <c r="I12" s="50" t="n">
        <v>0.155</v>
      </c>
      <c r="J12" s="50" t="n">
        <v>0.155</v>
      </c>
      <c r="K12" s="50" t="n">
        <v>0.155</v>
      </c>
      <c r="L12" s="50" t="n">
        <v>0.155</v>
      </c>
      <c r="M12" s="7" t="n"/>
      <c r="N12" s="7" t="n"/>
      <c r="O12" s="7" t="n"/>
    </row>
    <row r="13" ht="15" customHeight="1">
      <c r="B13" s="14" t="inlineStr">
        <is>
          <t>SG&amp;A Expense</t>
        </is>
      </c>
      <c r="C13" s="18" t="n">
        <v>3595</v>
      </c>
      <c r="D13" s="18" t="n">
        <v>4923</v>
      </c>
      <c r="E13" s="18" t="n">
        <v>5062</v>
      </c>
      <c r="F13" s="18" t="n">
        <v>5730</v>
      </c>
      <c r="G13" s="18" t="n">
        <v>6636</v>
      </c>
      <c r="H13" s="51" t="n">
        <v>7474</v>
      </c>
      <c r="I13" s="51" t="n">
        <v>8115</v>
      </c>
      <c r="J13" s="51" t="n">
        <v>8888</v>
      </c>
      <c r="K13" s="51" t="n">
        <v>9823</v>
      </c>
      <c r="L13" s="51" t="n">
        <v>10496</v>
      </c>
    </row>
    <row r="14" ht="15" customHeight="1">
      <c r="B14" s="12" t="inlineStr">
        <is>
          <t xml:space="preserve">  % of Revenue</t>
        </is>
      </c>
      <c r="C14" s="41" t="n">
        <v>0.373</v>
      </c>
      <c r="D14" s="41" t="n">
        <v>0.387</v>
      </c>
      <c r="E14" s="41" t="n">
        <v>0.352</v>
      </c>
      <c r="F14" s="41" t="n">
        <v>0.352</v>
      </c>
      <c r="G14" s="41" t="n">
        <v>0.352</v>
      </c>
      <c r="H14" s="50" t="n">
        <v>0.35</v>
      </c>
      <c r="I14" s="50" t="n">
        <v>0.34</v>
      </c>
      <c r="J14" s="50" t="n">
        <v>0.333</v>
      </c>
      <c r="K14" s="50" t="n">
        <v>0.331</v>
      </c>
      <c r="L14" s="50" t="n">
        <v>0.32</v>
      </c>
      <c r="M14" s="7" t="n"/>
      <c r="N14" s="7" t="n"/>
      <c r="O14" s="7" t="n"/>
    </row>
    <row r="15" ht="15" customHeight="1">
      <c r="B15" s="14" t="inlineStr">
        <is>
          <t>D&amp;A (Amortization)</t>
        </is>
      </c>
      <c r="C15" s="18" t="n">
        <v>196</v>
      </c>
      <c r="D15" s="18" t="n">
        <v>556</v>
      </c>
      <c r="E15" s="18" t="n">
        <v>646</v>
      </c>
      <c r="F15" s="18" t="n">
        <v>629</v>
      </c>
      <c r="G15" s="18" t="n">
        <v>637</v>
      </c>
      <c r="H15" s="51" t="n">
        <v>748</v>
      </c>
      <c r="I15" s="51" t="n">
        <v>836</v>
      </c>
      <c r="J15" s="51" t="n">
        <v>935</v>
      </c>
      <c r="K15" s="51" t="n">
        <v>1036</v>
      </c>
      <c r="L15" s="51" t="n">
        <v>1148</v>
      </c>
    </row>
    <row r="16" ht="15" customHeight="1">
      <c r="B16" s="12" t="inlineStr">
        <is>
          <t>Operating Expenses</t>
        </is>
      </c>
      <c r="C16" s="13" t="n">
        <v>5469</v>
      </c>
      <c r="D16" s="13" t="n">
        <v>7826</v>
      </c>
      <c r="E16" s="13" t="n">
        <v>8247</v>
      </c>
      <c r="F16" s="13" t="n">
        <v>9113</v>
      </c>
      <c r="G16" s="13" t="n">
        <v>10201</v>
      </c>
      <c r="H16" s="56" t="n">
        <v>11533</v>
      </c>
      <c r="I16" s="56" t="n">
        <v>12652</v>
      </c>
      <c r="J16" s="56" t="n">
        <v>13963</v>
      </c>
      <c r="K16" s="56" t="n">
        <v>15452</v>
      </c>
      <c r="L16" s="56" t="n">
        <v>16729</v>
      </c>
      <c r="M16" s="7" t="n"/>
      <c r="N16" s="7" t="n"/>
      <c r="O16" s="7" t="n"/>
    </row>
    <row r="17" ht="15" customHeight="1"/>
    <row r="18" ht="15" customHeight="1">
      <c r="B18" s="52" t="inlineStr">
        <is>
          <t>EBIT (GAAP)</t>
        </is>
      </c>
      <c r="C18" s="53" t="n">
        <v>2531</v>
      </c>
      <c r="D18" s="53" t="n">
        <v>2634</v>
      </c>
      <c r="E18" s="53" t="n">
        <v>3141</v>
      </c>
      <c r="F18" s="53" t="n">
        <v>3853</v>
      </c>
      <c r="G18" s="53" t="n">
        <v>4938</v>
      </c>
      <c r="H18" s="53" t="n">
        <v>6019</v>
      </c>
      <c r="I18" s="53" t="n">
        <v>6947</v>
      </c>
      <c r="J18" s="53" t="n">
        <v>7873</v>
      </c>
      <c r="K18" s="53" t="n">
        <v>8853</v>
      </c>
      <c r="L18" s="53" t="n">
        <v>10167</v>
      </c>
      <c r="M18" s="54" t="n"/>
      <c r="N18" s="54" t="n"/>
      <c r="O18" s="54" t="n"/>
    </row>
    <row r="19" ht="15" customHeight="1">
      <c r="B19" s="14" t="inlineStr">
        <is>
          <t xml:space="preserve">  EBIT Margin</t>
        </is>
      </c>
      <c r="C19" s="16" t="n">
        <v>0.263</v>
      </c>
      <c r="D19" s="16" t="n">
        <v>0.207</v>
      </c>
      <c r="E19" s="16" t="n">
        <v>0.219</v>
      </c>
      <c r="F19" s="16" t="n">
        <v>0.237</v>
      </c>
      <c r="G19" s="16" t="n">
        <v>0.262</v>
      </c>
      <c r="H19" s="55" t="n">
        <v>0.282</v>
      </c>
      <c r="I19" s="55" t="n">
        <v>0.291</v>
      </c>
      <c r="J19" s="55" t="n">
        <v>0.295</v>
      </c>
      <c r="K19" s="55" t="n">
        <v>0.299</v>
      </c>
      <c r="L19" s="55" t="n">
        <v>0.31</v>
      </c>
    </row>
    <row r="20" ht="15" customHeight="1">
      <c r="B20" s="12" t="inlineStr">
        <is>
          <t>Interest Expense</t>
        </is>
      </c>
      <c r="C20" s="13" t="n">
        <v>-29</v>
      </c>
      <c r="D20" s="13" t="n">
        <v>-81</v>
      </c>
      <c r="E20" s="13" t="n">
        <v>-248</v>
      </c>
      <c r="F20" s="13" t="n">
        <v>-242</v>
      </c>
      <c r="G20" s="13" t="n">
        <v>-247</v>
      </c>
      <c r="H20" s="56" t="n">
        <v>-250</v>
      </c>
      <c r="I20" s="56" t="n">
        <v>-245</v>
      </c>
      <c r="J20" s="56" t="n">
        <v>-240</v>
      </c>
      <c r="K20" s="56" t="n">
        <v>-230</v>
      </c>
      <c r="L20" s="56" t="n">
        <v>-220</v>
      </c>
      <c r="M20" s="7" t="n"/>
      <c r="N20" s="7" t="n"/>
      <c r="O20" s="7" t="n"/>
    </row>
    <row r="21" ht="15" customHeight="1">
      <c r="B21" s="14" t="inlineStr">
        <is>
          <t>Interest Income</t>
        </is>
      </c>
      <c r="C21" s="18" t="n">
        <v>11</v>
      </c>
      <c r="D21" s="18" t="n">
        <v>15</v>
      </c>
      <c r="E21" s="18" t="n">
        <v>106</v>
      </c>
      <c r="F21" s="18" t="n">
        <v>147</v>
      </c>
      <c r="G21" s="18" t="n">
        <v>175</v>
      </c>
      <c r="H21" s="51" t="n">
        <v>150</v>
      </c>
      <c r="I21" s="51" t="n">
        <v>160</v>
      </c>
      <c r="J21" s="51" t="n">
        <v>175</v>
      </c>
      <c r="K21" s="51" t="n">
        <v>190</v>
      </c>
      <c r="L21" s="51" t="n">
        <v>200</v>
      </c>
    </row>
    <row r="22" ht="15" customHeight="1">
      <c r="B22" s="12" t="inlineStr">
        <is>
          <t>Other Income</t>
        </is>
      </c>
      <c r="C22" s="13" t="n">
        <v>74</v>
      </c>
      <c r="D22" s="13" t="n">
        <v>37</v>
      </c>
      <c r="E22" s="13" t="n">
        <v>-10</v>
      </c>
      <c r="F22" s="13" t="n">
        <v>15</v>
      </c>
      <c r="G22" s="13" t="n">
        <v>34</v>
      </c>
      <c r="H22" s="56" t="n">
        <v>30</v>
      </c>
      <c r="I22" s="56" t="n">
        <v>30</v>
      </c>
      <c r="J22" s="56" t="n">
        <v>30</v>
      </c>
      <c r="K22" s="56" t="n">
        <v>30</v>
      </c>
      <c r="L22" s="56" t="n">
        <v>30</v>
      </c>
      <c r="M22" s="7" t="n"/>
      <c r="N22" s="7" t="n"/>
      <c r="O22" s="7" t="n"/>
    </row>
    <row r="23" ht="15" customHeight="1">
      <c r="B23" s="52" t="inlineStr">
        <is>
          <t>Pre-tax Income</t>
        </is>
      </c>
      <c r="C23" s="53" t="n">
        <v>2587</v>
      </c>
      <c r="D23" s="53" t="n">
        <v>2605</v>
      </c>
      <c r="E23" s="53" t="n">
        <v>2989</v>
      </c>
      <c r="F23" s="53" t="n">
        <v>3773</v>
      </c>
      <c r="G23" s="53" t="n">
        <v>4900</v>
      </c>
      <c r="H23" s="53" t="n">
        <v>5949</v>
      </c>
      <c r="I23" s="53" t="n">
        <v>6892</v>
      </c>
      <c r="J23" s="53" t="n">
        <v>7838</v>
      </c>
      <c r="K23" s="53" t="n">
        <v>8843</v>
      </c>
      <c r="L23" s="53" t="n">
        <v>10177</v>
      </c>
      <c r="M23" s="54" t="n"/>
      <c r="N23" s="54" t="n"/>
      <c r="O23" s="54" t="n"/>
    </row>
    <row r="24" ht="15" customHeight="1">
      <c r="B24" s="12" t="inlineStr">
        <is>
          <t>Income Tax</t>
        </is>
      </c>
      <c r="C24" s="13" t="n">
        <v>494</v>
      </c>
      <c r="D24" s="13" t="n">
        <v>476</v>
      </c>
      <c r="E24" s="13" t="n">
        <v>605</v>
      </c>
      <c r="F24" s="13" t="n">
        <v>587</v>
      </c>
      <c r="G24" s="13" t="n">
        <v>965</v>
      </c>
      <c r="H24" s="56" t="n">
        <v>1190</v>
      </c>
      <c r="I24" s="56" t="n">
        <v>1378</v>
      </c>
      <c r="J24" s="56" t="n">
        <v>1568</v>
      </c>
      <c r="K24" s="56" t="n">
        <v>1769</v>
      </c>
      <c r="L24" s="56" t="n">
        <v>2035</v>
      </c>
      <c r="M24" s="7" t="n"/>
      <c r="N24" s="7" t="n"/>
      <c r="O24" s="7" t="n"/>
    </row>
    <row r="25" ht="15" customHeight="1">
      <c r="B25" s="14" t="inlineStr">
        <is>
          <t xml:space="preserve">  Effective Tax Rate</t>
        </is>
      </c>
      <c r="C25" s="16" t="n">
        <v>0.191</v>
      </c>
      <c r="D25" s="16" t="n">
        <v>0.183</v>
      </c>
      <c r="E25" s="16" t="n">
        <v>0.202</v>
      </c>
      <c r="F25" s="16" t="n">
        <v>0.156</v>
      </c>
      <c r="G25" s="16" t="n">
        <v>0.197</v>
      </c>
      <c r="H25" s="55" t="n">
        <v>0.2</v>
      </c>
      <c r="I25" s="55" t="n">
        <v>0.2</v>
      </c>
      <c r="J25" s="55" t="n">
        <v>0.2</v>
      </c>
      <c r="K25" s="55" t="n">
        <v>0.2</v>
      </c>
      <c r="L25" s="55" t="n">
        <v>0.2</v>
      </c>
    </row>
    <row r="26" ht="15" customHeight="1">
      <c r="B26" s="7" t="n"/>
      <c r="C26" s="7" t="n"/>
      <c r="D26" s="7" t="n"/>
      <c r="E26" s="7" t="n"/>
      <c r="F26" s="7" t="n"/>
      <c r="G26" s="7" t="n"/>
      <c r="H26" s="7" t="n"/>
      <c r="I26" s="7" t="n"/>
      <c r="J26" s="7" t="n"/>
      <c r="K26" s="7" t="n"/>
      <c r="L26" s="7" t="n"/>
      <c r="M26" s="7" t="n"/>
      <c r="N26" s="7" t="n"/>
      <c r="O26" s="7" t="n"/>
    </row>
    <row r="27" ht="15" customHeight="1">
      <c r="B27" s="38" t="inlineStr">
        <is>
          <t>Net Income (GAAP)</t>
        </is>
      </c>
      <c r="C27" s="48" t="n">
        <v>2062</v>
      </c>
      <c r="D27" s="48" t="n">
        <v>2066</v>
      </c>
      <c r="E27" s="48" t="n">
        <v>2384</v>
      </c>
      <c r="F27" s="48" t="n">
        <v>2963</v>
      </c>
      <c r="G27" s="48" t="n">
        <v>3869</v>
      </c>
      <c r="H27" s="48" t="n">
        <v>4759</v>
      </c>
      <c r="I27" s="48" t="n">
        <v>5514</v>
      </c>
      <c r="J27" s="48" t="n">
        <v>6270</v>
      </c>
      <c r="K27" s="48" t="n">
        <v>7074</v>
      </c>
      <c r="L27" s="48" t="n">
        <v>8142</v>
      </c>
      <c r="M27" s="40" t="n"/>
      <c r="N27" s="40" t="n"/>
      <c r="O27" s="40" t="n"/>
    </row>
    <row r="28" ht="15" customHeight="1">
      <c r="B28" s="12" t="inlineStr">
        <is>
          <t xml:space="preserve">  Net Margin</t>
        </is>
      </c>
      <c r="C28" s="41" t="n">
        <v>0.214</v>
      </c>
      <c r="D28" s="41" t="n">
        <v>0.162</v>
      </c>
      <c r="E28" s="41" t="n">
        <v>0.166</v>
      </c>
      <c r="F28" s="41" t="n">
        <v>0.182</v>
      </c>
      <c r="G28" s="41" t="n">
        <v>0.206</v>
      </c>
      <c r="H28" s="50" t="n">
        <v>0.223</v>
      </c>
      <c r="I28" s="50" t="n">
        <v>0.231</v>
      </c>
      <c r="J28" s="50" t="n">
        <v>0.235</v>
      </c>
      <c r="K28" s="50" t="n">
        <v>0.239</v>
      </c>
      <c r="L28" s="50" t="n">
        <v>0.248</v>
      </c>
      <c r="M28" s="7" t="n"/>
      <c r="N28" s="7" t="n"/>
      <c r="O28" s="7" t="n"/>
    </row>
    <row r="29" ht="15" customHeight="1">
      <c r="B29" s="14" t="inlineStr">
        <is>
          <t>Shares Out. (Dil.)</t>
        </is>
      </c>
      <c r="C29" s="18" t="n">
        <v>273</v>
      </c>
      <c r="D29" s="18" t="n">
        <v>284</v>
      </c>
      <c r="E29" s="18" t="n">
        <v>283</v>
      </c>
      <c r="F29" s="18" t="n">
        <v>284</v>
      </c>
      <c r="G29" s="18" t="n">
        <v>283</v>
      </c>
      <c r="H29" s="51" t="n">
        <v>281</v>
      </c>
      <c r="I29" s="51" t="n">
        <v>279</v>
      </c>
      <c r="J29" s="51" t="n">
        <v>277</v>
      </c>
      <c r="K29" s="51" t="n">
        <v>275</v>
      </c>
      <c r="L29" s="51" t="n">
        <v>273</v>
      </c>
    </row>
    <row r="30" ht="15" customHeight="1">
      <c r="B30" s="52" t="inlineStr">
        <is>
          <t>GAAP EPS (Diluted)</t>
        </is>
      </c>
      <c r="C30" s="57" t="n">
        <v>7.56</v>
      </c>
      <c r="D30" s="57" t="n">
        <v>7.28</v>
      </c>
      <c r="E30" s="57" t="n">
        <v>8.42</v>
      </c>
      <c r="F30" s="57" t="n">
        <v>10.43</v>
      </c>
      <c r="G30" s="57" t="n">
        <v>13.67</v>
      </c>
      <c r="H30" s="57" t="n">
        <v>16.94</v>
      </c>
      <c r="I30" s="57" t="n">
        <v>19.76</v>
      </c>
      <c r="J30" s="57" t="n">
        <v>22.63</v>
      </c>
      <c r="K30" s="57" t="n">
        <v>25.72</v>
      </c>
      <c r="L30" s="57" t="n">
        <v>29.82</v>
      </c>
      <c r="M30" s="54" t="n"/>
      <c r="N30" s="54" t="n"/>
      <c r="O30" s="54" t="n"/>
    </row>
    <row r="31" ht="15" customHeight="1">
      <c r="B31" s="14" t="inlineStr">
        <is>
          <t xml:space="preserve">  YoY EPS Growth</t>
        </is>
      </c>
      <c r="D31" s="16" t="n">
        <v>-0.03700000000000001</v>
      </c>
      <c r="E31" s="16" t="n">
        <v>0.157</v>
      </c>
      <c r="F31" s="16" t="n">
        <v>0.239</v>
      </c>
      <c r="G31" s="16" t="n">
        <v>0.311</v>
      </c>
      <c r="H31" s="55" t="n">
        <v>0.239</v>
      </c>
      <c r="I31" s="55" t="n">
        <v>0.166</v>
      </c>
      <c r="J31" s="55" t="n">
        <v>0.145</v>
      </c>
      <c r="K31" s="55" t="n">
        <v>0.136</v>
      </c>
      <c r="L31" s="55" t="n">
        <v>0.16</v>
      </c>
    </row>
    <row r="32" ht="15" customHeight="1">
      <c r="B32" s="7" t="n"/>
      <c r="C32" s="7" t="n"/>
      <c r="D32" s="7" t="n"/>
      <c r="E32" s="7" t="n"/>
      <c r="F32" s="7" t="n"/>
      <c r="G32" s="7" t="n"/>
      <c r="H32" s="7" t="n"/>
      <c r="I32" s="7" t="n"/>
      <c r="J32" s="7" t="n"/>
      <c r="K32" s="7" t="n"/>
      <c r="L32" s="7" t="n"/>
      <c r="M32" s="7" t="n"/>
      <c r="N32" s="7" t="n"/>
      <c r="O32" s="7" t="n"/>
    </row>
    <row r="33" ht="15" customHeight="1">
      <c r="B33" s="52" t="inlineStr">
        <is>
          <t>Adj. EBITDA</t>
        </is>
      </c>
      <c r="C33" s="53" t="n">
        <v>2863</v>
      </c>
      <c r="D33" s="53" t="n">
        <v>3317</v>
      </c>
      <c r="E33" s="53" t="n">
        <v>3947</v>
      </c>
      <c r="F33" s="53" t="n">
        <v>4419</v>
      </c>
      <c r="G33" s="53" t="n">
        <v>5732</v>
      </c>
      <c r="H33" s="53" t="n">
        <v>9053</v>
      </c>
      <c r="I33" s="53" t="n">
        <v>10258</v>
      </c>
      <c r="J33" s="53" t="n">
        <v>11465</v>
      </c>
      <c r="K33" s="53" t="n">
        <v>12840</v>
      </c>
      <c r="L33" s="53" t="n">
        <v>14330</v>
      </c>
      <c r="M33" s="54" t="n"/>
      <c r="N33" s="54" t="n"/>
      <c r="O33" s="54" t="n"/>
    </row>
    <row r="34" ht="15" customHeight="1">
      <c r="B34" s="12" t="inlineStr">
        <is>
          <t xml:space="preserve">  Adj. EBITDA Mgn</t>
        </is>
      </c>
      <c r="C34" s="41" t="n">
        <v>0.297</v>
      </c>
      <c r="D34" s="41" t="n">
        <v>0.261</v>
      </c>
      <c r="E34" s="41" t="n">
        <v>0.275</v>
      </c>
      <c r="F34" s="41" t="n">
        <v>0.271</v>
      </c>
      <c r="G34" s="41" t="n">
        <v>0.304</v>
      </c>
      <c r="H34" s="50" t="n">
        <v>0.424</v>
      </c>
      <c r="I34" s="50" t="n">
        <v>0.429</v>
      </c>
      <c r="J34" s="50" t="n">
        <v>0.429</v>
      </c>
      <c r="K34" s="50" t="n">
        <v>0.433</v>
      </c>
      <c r="L34" s="50" t="n">
        <v>0.4370000000000001</v>
      </c>
      <c r="M34" s="7" t="n"/>
      <c r="N34" s="7" t="n"/>
      <c r="O34" s="7" t="n"/>
    </row>
    <row r="35" ht="15" customHeight="1">
      <c r="B35" s="52" t="inlineStr">
        <is>
          <t>Adj. EPS</t>
        </is>
      </c>
      <c r="C35" s="57" t="n">
        <v>9.74</v>
      </c>
      <c r="D35" s="57" t="n">
        <v>11.85</v>
      </c>
      <c r="E35" s="57" t="n">
        <v>14.4</v>
      </c>
      <c r="F35" s="57" t="n">
        <v>16.94</v>
      </c>
      <c r="G35" s="57" t="n">
        <v>20.15</v>
      </c>
      <c r="H35" s="57" t="n">
        <v>24.55</v>
      </c>
      <c r="I35" s="57" t="n">
        <v>28.68</v>
      </c>
      <c r="J35" s="57" t="n">
        <v>31.42</v>
      </c>
      <c r="K35" s="57" t="n">
        <v>34.2</v>
      </c>
      <c r="L35" s="57" t="n">
        <v>37.5</v>
      </c>
      <c r="M35" s="54" t="n"/>
      <c r="N35" s="54" t="n"/>
      <c r="O35" s="54" t="n"/>
    </row>
    <row r="36" ht="15" customHeight="1">
      <c r="B36" s="12" t="inlineStr">
        <is>
          <t xml:space="preserve">  YoY Adj. EPS Gr.</t>
        </is>
      </c>
      <c r="C36" s="7" t="n"/>
      <c r="D36" s="41" t="n">
        <v>0.217</v>
      </c>
      <c r="E36" s="41" t="n">
        <v>0.215</v>
      </c>
      <c r="F36" s="41" t="n">
        <v>0.176</v>
      </c>
      <c r="G36" s="41" t="n">
        <v>0.189</v>
      </c>
      <c r="H36" s="50" t="n">
        <v>0.218</v>
      </c>
      <c r="I36" s="50" t="n">
        <v>0.168</v>
      </c>
      <c r="J36" s="50" t="n">
        <v>0.095</v>
      </c>
      <c r="K36" s="50" t="n">
        <v>0.08900000000000001</v>
      </c>
      <c r="L36" s="50" t="n">
        <v>0.096</v>
      </c>
      <c r="M36" s="7" t="n"/>
      <c r="N36" s="7" t="n"/>
      <c r="O36" s="7" t="n"/>
    </row>
    <row r="37" ht="15" customHeight="1">
      <c r="B37" s="52" t="inlineStr">
        <is>
          <t>Free Cash Flow</t>
        </is>
      </c>
      <c r="C37" s="53" t="n">
        <v>3197</v>
      </c>
      <c r="D37" s="53" t="n">
        <v>3732</v>
      </c>
      <c r="E37" s="53" t="n">
        <v>4836</v>
      </c>
      <c r="F37" s="53" t="n">
        <v>4693</v>
      </c>
      <c r="G37" s="53" t="n">
        <v>6083</v>
      </c>
      <c r="H37" s="53" t="n">
        <v>7845</v>
      </c>
      <c r="I37" s="53" t="n">
        <v>8239</v>
      </c>
      <c r="J37" s="53" t="n">
        <v>8972</v>
      </c>
      <c r="K37" s="53" t="n">
        <v>9950</v>
      </c>
      <c r="L37" s="53" t="n">
        <v>11000</v>
      </c>
      <c r="M37" s="54" t="n"/>
      <c r="N37" s="54" t="n"/>
      <c r="O37" s="54" t="n"/>
    </row>
    <row r="38" ht="15" customHeight="1">
      <c r="B38" s="12" t="inlineStr">
        <is>
          <t xml:space="preserve">  FCF Margin</t>
        </is>
      </c>
      <c r="C38" s="41" t="n">
        <v>0.332</v>
      </c>
      <c r="D38" s="41" t="n">
        <v>0.293</v>
      </c>
      <c r="E38" s="41" t="n">
        <v>0.337</v>
      </c>
      <c r="F38" s="41" t="n">
        <v>0.288</v>
      </c>
      <c r="G38" s="41" t="n">
        <v>0.323</v>
      </c>
      <c r="H38" s="50" t="n">
        <v>0.367</v>
      </c>
      <c r="I38" s="50" t="n">
        <v>0.345</v>
      </c>
      <c r="J38" s="50" t="n">
        <v>0.336</v>
      </c>
      <c r="K38" s="50" t="n">
        <v>0.336</v>
      </c>
      <c r="L38" s="50" t="n">
        <v>0.335</v>
      </c>
      <c r="M38" s="7" t="n"/>
      <c r="N38" s="7" t="n"/>
      <c r="O38" s="7" t="n"/>
    </row>
  </sheetData>
  <mergeCells count="2">
    <mergeCell ref="B3:O3"/>
    <mergeCell ref="B2:O2"/>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I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3" customWidth="1" min="1" max="1"/>
    <col width="35"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6" customHeight="1"/>
    <row r="2" ht="22" customHeight="1">
      <c r="B2" s="33" t="inlineStr">
        <is>
          <t>INTUIT INC. — BALANCE SHEET (USD millions)</t>
        </is>
      </c>
    </row>
    <row r="3"/>
    <row r="4" ht="18" customHeight="1">
      <c r="B4" s="58" t="inlineStr">
        <is>
          <t>ASSETS</t>
        </is>
      </c>
    </row>
    <row r="5" ht="15" customHeight="1">
      <c r="B5" s="14" t="inlineStr">
        <is>
          <t>Cash &amp; Cash Equivalents</t>
        </is>
      </c>
      <c r="C5" s="18" t="n">
        <v>2562</v>
      </c>
      <c r="D5" s="18" t="n">
        <v>2796</v>
      </c>
      <c r="E5" s="18" t="n">
        <v>2848</v>
      </c>
      <c r="F5" s="18" t="n">
        <v>3609</v>
      </c>
      <c r="G5" s="18" t="n">
        <v>2884</v>
      </c>
    </row>
    <row r="6" ht="15" customHeight="1">
      <c r="B6" s="14" t="inlineStr">
        <is>
          <t>Short-term Investments</t>
        </is>
      </c>
      <c r="C6" s="13" t="n">
        <v>1308</v>
      </c>
      <c r="D6" s="13" t="n">
        <v>485</v>
      </c>
      <c r="E6" s="13" t="n">
        <v>814</v>
      </c>
      <c r="F6" s="13" t="n">
        <v>465</v>
      </c>
      <c r="G6" s="13" t="n">
        <v>33</v>
      </c>
    </row>
    <row r="7" ht="15" customHeight="1">
      <c r="B7" s="14" t="inlineStr">
        <is>
          <t>Accounts Receivable, net</t>
        </is>
      </c>
      <c r="C7" s="18" t="n">
        <v>391</v>
      </c>
      <c r="D7" s="18" t="n">
        <v>446</v>
      </c>
      <c r="E7" s="18" t="n">
        <v>405</v>
      </c>
      <c r="F7" s="18" t="n">
        <v>457</v>
      </c>
      <c r="G7" s="18" t="n">
        <v>530</v>
      </c>
    </row>
    <row r="8" ht="15" customHeight="1">
      <c r="B8" s="14" t="inlineStr">
        <is>
          <t>Other Current Assets</t>
        </is>
      </c>
      <c r="C8" s="13" t="n">
        <v>896</v>
      </c>
      <c r="D8" s="13" t="n">
        <v>920</v>
      </c>
      <c r="E8" s="13" t="n">
        <v>490</v>
      </c>
      <c r="F8" s="13" t="n">
        <v>3149</v>
      </c>
      <c r="G8" s="13" t="n">
        <v>5000</v>
      </c>
    </row>
    <row r="9" ht="15" customHeight="1">
      <c r="B9" s="14" t="inlineStr">
        <is>
          <t>Funds Held for Customers</t>
        </is>
      </c>
      <c r="G9" s="18" t="n">
        <v>3000</v>
      </c>
    </row>
    <row r="10" ht="15" customHeight="1">
      <c r="B10" s="14" t="inlineStr">
        <is>
          <t>Total Current Assets</t>
        </is>
      </c>
      <c r="C10" s="13" t="n">
        <v>5157</v>
      </c>
      <c r="D10" s="13" t="n">
        <v>5047</v>
      </c>
      <c r="E10" s="13" t="n">
        <v>5557</v>
      </c>
      <c r="F10" s="13" t="n">
        <v>9678</v>
      </c>
      <c r="G10" s="13" t="n">
        <v>11447</v>
      </c>
    </row>
    <row r="11" ht="15" customHeight="1">
      <c r="B11" s="14" t="inlineStr">
        <is>
          <t>PP&amp;E, net</t>
        </is>
      </c>
      <c r="C11" s="18" t="n">
        <v>1160</v>
      </c>
      <c r="D11" s="18" t="n">
        <v>1437</v>
      </c>
      <c r="E11" s="18" t="n">
        <v>1438</v>
      </c>
      <c r="F11" s="18" t="n">
        <v>1420</v>
      </c>
      <c r="G11" s="18" t="n">
        <v>1500</v>
      </c>
    </row>
    <row r="12" ht="15" customHeight="1">
      <c r="B12" s="14" t="inlineStr">
        <is>
          <t>Goodwill</t>
        </is>
      </c>
      <c r="C12" s="13" t="n">
        <v>5613</v>
      </c>
      <c r="D12" s="13" t="n">
        <v>13736</v>
      </c>
      <c r="E12" s="13" t="n">
        <v>13780</v>
      </c>
      <c r="F12" s="13" t="n">
        <v>13844</v>
      </c>
      <c r="G12" s="13" t="n">
        <v>13820</v>
      </c>
    </row>
    <row r="13" ht="15" customHeight="1">
      <c r="B13" s="14" t="inlineStr">
        <is>
          <t>Intangible Assets, net</t>
        </is>
      </c>
      <c r="C13" s="18" t="n">
        <v>3252</v>
      </c>
      <c r="D13" s="18" t="n">
        <v>7061</v>
      </c>
      <c r="E13" s="18" t="n">
        <v>6419</v>
      </c>
      <c r="F13" s="18" t="n">
        <v>5820</v>
      </c>
      <c r="G13" s="18" t="n">
        <v>5300</v>
      </c>
    </row>
    <row r="14" ht="15" customHeight="1">
      <c r="B14" s="14" t="inlineStr">
        <is>
          <t>Other Non-current Assets</t>
        </is>
      </c>
      <c r="C14" s="13" t="n">
        <v>334</v>
      </c>
      <c r="D14" s="13" t="n">
        <v>450</v>
      </c>
      <c r="E14" s="13" t="n">
        <v>586</v>
      </c>
      <c r="F14" s="13" t="n">
        <v>1170</v>
      </c>
      <c r="G14" s="13" t="n">
        <v>900</v>
      </c>
    </row>
    <row r="15" ht="15" customHeight="1">
      <c r="B15" s="14" t="inlineStr">
        <is>
          <t>Total Assets</t>
        </is>
      </c>
      <c r="C15" s="18" t="n">
        <v>15516</v>
      </c>
      <c r="D15" s="18" t="n">
        <v>27734</v>
      </c>
      <c r="E15" s="18" t="n">
        <v>27780</v>
      </c>
      <c r="F15" s="18" t="n">
        <v>32132</v>
      </c>
      <c r="G15" s="18" t="n">
        <v>32967</v>
      </c>
    </row>
    <row r="16" ht="15" customHeight="1"/>
    <row r="17" ht="18" customHeight="1">
      <c r="B17" s="59" t="inlineStr">
        <is>
          <t>LIABILITIES</t>
        </is>
      </c>
    </row>
    <row r="18" ht="15" customHeight="1">
      <c r="B18" s="14" t="inlineStr">
        <is>
          <t>Accounts Payable</t>
        </is>
      </c>
      <c r="C18" s="13" t="n">
        <v>623</v>
      </c>
      <c r="D18" s="13" t="n">
        <v>737</v>
      </c>
      <c r="E18" s="13" t="n">
        <v>638</v>
      </c>
      <c r="F18" s="13" t="n">
        <v>721</v>
      </c>
      <c r="G18" s="13" t="n">
        <v>700</v>
      </c>
    </row>
    <row r="19" ht="15" customHeight="1">
      <c r="B19" s="14" t="inlineStr">
        <is>
          <t>Accrued Liabilities</t>
        </is>
      </c>
      <c r="C19" s="18" t="n">
        <v>699</v>
      </c>
      <c r="D19" s="18" t="n">
        <v>763</v>
      </c>
      <c r="E19" s="18" t="n">
        <v>893</v>
      </c>
      <c r="F19" s="18" t="n">
        <v>1259</v>
      </c>
      <c r="G19" s="18" t="n">
        <v>1400</v>
      </c>
    </row>
    <row r="20" ht="15" customHeight="1">
      <c r="B20" s="14" t="inlineStr">
        <is>
          <t>Current Portion LT Debt</t>
        </is>
      </c>
      <c r="C20" s="13" t="n">
        <v>66</v>
      </c>
      <c r="D20" s="13" t="n">
        <v>499</v>
      </c>
      <c r="E20" s="13" t="n">
        <v>89</v>
      </c>
      <c r="F20" s="13" t="n">
        <v>499</v>
      </c>
      <c r="G20" s="13" t="n">
        <v>69</v>
      </c>
    </row>
    <row r="21" ht="15" customHeight="1">
      <c r="B21" s="14" t="inlineStr">
        <is>
          <t>Deferred Revenue (curr.)</t>
        </is>
      </c>
      <c r="C21" s="18" t="n">
        <v>684</v>
      </c>
      <c r="D21" s="18" t="n">
        <v>808</v>
      </c>
      <c r="E21" s="18" t="n">
        <v>921</v>
      </c>
      <c r="F21" s="18" t="n">
        <v>872</v>
      </c>
      <c r="G21" s="18" t="n">
        <v>900</v>
      </c>
    </row>
    <row r="22" ht="15" customHeight="1">
      <c r="B22" s="14" t="inlineStr">
        <is>
          <t>Other Current Liabilities</t>
        </is>
      </c>
      <c r="C22" s="13" t="n">
        <v>583</v>
      </c>
      <c r="D22" s="13" t="n">
        <v>823</v>
      </c>
      <c r="E22" s="13" t="n">
        <v>249</v>
      </c>
      <c r="F22" s="13" t="n">
        <v>3140</v>
      </c>
      <c r="G22" s="13" t="n">
        <v>4000</v>
      </c>
    </row>
    <row r="23" ht="15" customHeight="1">
      <c r="B23" s="14" t="inlineStr">
        <is>
          <t>Total Current Liabilities</t>
        </is>
      </c>
      <c r="C23" s="18" t="n">
        <v>2655</v>
      </c>
      <c r="D23" s="18" t="n">
        <v>3630</v>
      </c>
      <c r="E23" s="18" t="n">
        <v>3790</v>
      </c>
      <c r="F23" s="18" t="n">
        <v>7491</v>
      </c>
      <c r="G23" s="18" t="n">
        <v>7069</v>
      </c>
    </row>
    <row r="24" ht="15" customHeight="1">
      <c r="B24" s="14" t="inlineStr">
        <is>
          <t>Long-term Debt</t>
        </is>
      </c>
      <c r="C24" s="13" t="n">
        <v>2034</v>
      </c>
      <c r="D24" s="13" t="n">
        <v>6415</v>
      </c>
      <c r="E24" s="13" t="n">
        <v>6120</v>
      </c>
      <c r="F24" s="13" t="n">
        <v>5539</v>
      </c>
      <c r="G24" s="13" t="n">
        <v>5469</v>
      </c>
    </row>
    <row r="25" ht="15" customHeight="1">
      <c r="B25" s="14" t="inlineStr">
        <is>
          <t>Operating Lease Liab.</t>
        </is>
      </c>
      <c r="C25" s="18" t="n">
        <v>380</v>
      </c>
      <c r="D25" s="18" t="n">
        <v>542</v>
      </c>
      <c r="E25" s="18" t="n">
        <v>480</v>
      </c>
      <c r="F25" s="18" t="n">
        <v>458</v>
      </c>
      <c r="G25" s="18" t="n">
        <v>500</v>
      </c>
    </row>
    <row r="26" ht="15" customHeight="1">
      <c r="B26" s="14" t="inlineStr">
        <is>
          <t>Other Non-current Liab.</t>
        </is>
      </c>
      <c r="C26" s="13" t="n">
        <v>578</v>
      </c>
      <c r="D26" s="13" t="n">
        <v>706</v>
      </c>
      <c r="E26" s="13" t="n">
        <v>121</v>
      </c>
      <c r="F26" s="13" t="n">
        <v>208</v>
      </c>
      <c r="G26" s="13" t="n">
        <v>250</v>
      </c>
    </row>
    <row r="27" ht="15" customHeight="1">
      <c r="B27" s="14" t="inlineStr">
        <is>
          <t>Total Liabilities</t>
        </is>
      </c>
      <c r="C27" s="18" t="n">
        <v>5647</v>
      </c>
      <c r="D27" s="18" t="n">
        <v>11293</v>
      </c>
      <c r="E27" s="18" t="n">
        <v>10511</v>
      </c>
      <c r="F27" s="18" t="n">
        <v>13696</v>
      </c>
      <c r="G27" s="18" t="n">
        <v>13288</v>
      </c>
    </row>
    <row r="28" ht="15" customHeight="1"/>
    <row r="29" ht="18" customHeight="1">
      <c r="B29" s="59" t="inlineStr">
        <is>
          <t>SHAREHOLDERS' EQUITY</t>
        </is>
      </c>
    </row>
    <row r="30" ht="15" customHeight="1">
      <c r="B30" s="14" t="inlineStr">
        <is>
          <t>Common Stock &amp; APIC</t>
        </is>
      </c>
      <c r="C30" s="13" t="n">
        <v>10548</v>
      </c>
      <c r="D30" s="13" t="n">
        <v>17725</v>
      </c>
      <c r="E30" s="13" t="n">
        <v>19029</v>
      </c>
      <c r="F30" s="13" t="n">
        <v>20251</v>
      </c>
      <c r="G30" s="13" t="n">
        <v>20500</v>
      </c>
    </row>
    <row r="31" ht="15" customHeight="1">
      <c r="B31" s="14" t="inlineStr">
        <is>
          <t>Retained Earnings</t>
        </is>
      </c>
      <c r="C31" s="18" t="n">
        <v>12296</v>
      </c>
      <c r="D31" s="18" t="n">
        <v>13581</v>
      </c>
      <c r="E31" s="18" t="n">
        <v>15067</v>
      </c>
      <c r="F31" s="18" t="n">
        <v>16989</v>
      </c>
      <c r="G31" s="18" t="n">
        <v>19469</v>
      </c>
    </row>
    <row r="32" ht="15" customHeight="1">
      <c r="B32" s="14" t="inlineStr">
        <is>
          <t>Treasury Stock</t>
        </is>
      </c>
      <c r="C32" s="13" t="n">
        <v>-12951</v>
      </c>
      <c r="D32" s="13" t="n">
        <v>-14805</v>
      </c>
      <c r="E32" s="13" t="n">
        <v>-16772</v>
      </c>
      <c r="F32" s="13" t="n">
        <v>-18750</v>
      </c>
      <c r="G32" s="13" t="n">
        <v>-20500</v>
      </c>
    </row>
    <row r="33" ht="15" customHeight="1">
      <c r="B33" s="14" t="inlineStr">
        <is>
          <t>Accum. Other Comp. Inc.</t>
        </is>
      </c>
      <c r="C33" s="18" t="n">
        <v>-24</v>
      </c>
      <c r="D33" s="18" t="n">
        <v>-60</v>
      </c>
      <c r="E33" s="18" t="n">
        <v>-55</v>
      </c>
      <c r="F33" s="18" t="n">
        <v>-54</v>
      </c>
      <c r="G33" s="18" t="n">
        <v>-54</v>
      </c>
    </row>
    <row r="34" ht="15" customHeight="1">
      <c r="B34" s="14" t="inlineStr">
        <is>
          <t>Total Equity</t>
        </is>
      </c>
      <c r="C34" s="13" t="n">
        <v>9869</v>
      </c>
      <c r="D34" s="13" t="n">
        <v>16441</v>
      </c>
      <c r="E34" s="13" t="n">
        <v>17269</v>
      </c>
      <c r="F34" s="13" t="n">
        <v>18436</v>
      </c>
      <c r="G34" s="13" t="n">
        <v>19679</v>
      </c>
    </row>
    <row r="35" ht="15" customHeight="1"/>
    <row r="36" ht="15" customHeight="1">
      <c r="B36" s="14" t="inlineStr">
        <is>
          <t>Total Liabilities + Equity</t>
        </is>
      </c>
      <c r="C36" s="13" t="n">
        <v>15516</v>
      </c>
      <c r="D36" s="13" t="n">
        <v>27734</v>
      </c>
      <c r="E36" s="13" t="n">
        <v>27780</v>
      </c>
      <c r="F36" s="13" t="n">
        <v>32132</v>
      </c>
      <c r="G36" s="13" t="n">
        <v>32967</v>
      </c>
    </row>
    <row r="37" ht="15" customHeight="1"/>
    <row r="38" ht="15" customHeight="1">
      <c r="B38" s="14" t="inlineStr">
        <is>
          <t>NET DEBT (Total Debt - Cash)</t>
        </is>
      </c>
    </row>
    <row r="39" ht="15" customHeight="1">
      <c r="B39" s="14" t="inlineStr">
        <is>
          <t>Total Debt</t>
        </is>
      </c>
      <c r="C39" s="18" t="n">
        <v>2480</v>
      </c>
      <c r="D39" s="18" t="n">
        <v>7540</v>
      </c>
      <c r="E39" s="18" t="n">
        <v>6689</v>
      </c>
      <c r="F39" s="18" t="n">
        <v>6567</v>
      </c>
      <c r="G39" s="18" t="n">
        <v>5500</v>
      </c>
    </row>
    <row r="40" ht="15" customHeight="1">
      <c r="B40" s="14" t="inlineStr">
        <is>
          <t>Net Debt</t>
        </is>
      </c>
      <c r="C40" s="13" t="n">
        <v>-1390</v>
      </c>
      <c r="D40" s="13" t="n">
        <v>4259</v>
      </c>
      <c r="E40" s="13" t="n">
        <v>3027</v>
      </c>
      <c r="F40" s="13" t="n">
        <v>2493</v>
      </c>
      <c r="G40" s="13" t="n">
        <v>2583</v>
      </c>
    </row>
    <row r="41" ht="15" customHeight="1">
      <c r="B41" s="14" t="inlineStr">
        <is>
          <t>Debt / EBITDA (GAAP)</t>
        </is>
      </c>
      <c r="C41" s="20" t="n">
        <v>0.87</v>
      </c>
      <c r="D41" s="20" t="n">
        <v>2.33</v>
      </c>
      <c r="E41" s="20" t="n">
        <v>1.69</v>
      </c>
      <c r="F41" s="20" t="n">
        <v>1.46</v>
      </c>
      <c r="G41" s="20" t="n">
        <v>0.96</v>
      </c>
    </row>
    <row r="42" ht="15" customHeight="1">
      <c r="B42" s="14" t="inlineStr">
        <is>
          <t>Net Debt / EBITDA</t>
        </is>
      </c>
      <c r="D42" s="19" t="n">
        <v>1.32</v>
      </c>
      <c r="E42" s="19" t="n">
        <v>0.77</v>
      </c>
      <c r="F42" s="19" t="n">
        <v>0.55</v>
      </c>
      <c r="G42" s="19" t="n">
        <v>0.45</v>
      </c>
    </row>
    <row r="43" ht="15" customHeight="1">
      <c r="B43" s="14" t="inlineStr">
        <is>
          <t>Goodwill / Total Assets %</t>
        </is>
      </c>
      <c r="C43" s="16" t="n">
        <v>0.362</v>
      </c>
      <c r="D43" s="16" t="n">
        <v>0.495</v>
      </c>
      <c r="E43" s="16" t="n">
        <v>0.496</v>
      </c>
      <c r="F43" s="16" t="n">
        <v>0.431</v>
      </c>
      <c r="G43" s="16" t="n">
        <v>0.419</v>
      </c>
    </row>
  </sheetData>
  <mergeCells count="4">
    <mergeCell ref="B2:I2"/>
    <mergeCell ref="B4:I4"/>
    <mergeCell ref="B29:I29"/>
    <mergeCell ref="B17:I17"/>
  </mergeCells>
  <pageMargins left="0.75" right="0.75" top="1" bottom="1" header="0.5" footer="0.5"/>
</worksheet>
</file>

<file path=xl/worksheets/sheet5.xml><?xml version="1.0" encoding="utf-8"?>
<worksheet xmlns="http://schemas.openxmlformats.org/spreadsheetml/2006/main">
  <sheetPr>
    <tabColor rgb="00C9A84C"/>
    <outlinePr summaryBelow="1" summaryRight="1"/>
    <pageSetUpPr/>
  </sheetPr>
  <dimension ref="A1:O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3" customWidth="1" min="1" max="1"/>
    <col width="3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6" customHeight="1"/>
    <row r="2" ht="22" customHeight="1">
      <c r="B2" s="33" t="inlineStr">
        <is>
          <t>INTUIT INC. — CASH FLOW STATEMENT (USD millions, Base Case)</t>
        </is>
      </c>
    </row>
    <row r="3"/>
    <row r="4" ht="18" customHeight="1">
      <c r="B4" s="58" t="inlineStr">
        <is>
          <t>OPERATING CASH FLOW</t>
        </is>
      </c>
    </row>
    <row r="5" ht="15" customHeight="1">
      <c r="B5" s="14" t="inlineStr">
        <is>
          <t>Net Income</t>
        </is>
      </c>
      <c r="C5" s="18" t="n">
        <v>2062</v>
      </c>
      <c r="D5" s="18" t="n">
        <v>2066</v>
      </c>
      <c r="E5" s="18" t="n">
        <v>2384</v>
      </c>
      <c r="F5" s="18" t="n">
        <v>2963</v>
      </c>
      <c r="G5" s="18" t="n">
        <v>3869</v>
      </c>
      <c r="H5" s="18" t="n">
        <v>4759</v>
      </c>
      <c r="I5" s="18" t="n">
        <v>5514</v>
      </c>
      <c r="J5" s="18" t="n">
        <v>6270</v>
      </c>
      <c r="K5" s="18" t="n">
        <v>7074</v>
      </c>
      <c r="L5" s="18" t="n">
        <v>8142</v>
      </c>
    </row>
    <row r="6" ht="15" customHeight="1">
      <c r="B6" s="14" t="inlineStr">
        <is>
          <t>D&amp;A &amp; Amortization</t>
        </is>
      </c>
      <c r="C6" s="13" t="n">
        <v>313</v>
      </c>
      <c r="D6" s="13" t="n">
        <v>606</v>
      </c>
      <c r="E6" s="13" t="n">
        <v>643</v>
      </c>
      <c r="F6" s="13" t="n">
        <v>643</v>
      </c>
      <c r="G6" s="13" t="n">
        <v>653</v>
      </c>
      <c r="H6" s="13" t="n">
        <v>748</v>
      </c>
      <c r="I6" s="13" t="n">
        <v>836</v>
      </c>
      <c r="J6" s="13" t="n">
        <v>935</v>
      </c>
      <c r="K6" s="13" t="n">
        <v>1036</v>
      </c>
      <c r="L6" s="13" t="n">
        <v>1148</v>
      </c>
    </row>
    <row r="7" ht="15" customHeight="1">
      <c r="B7" s="14" t="inlineStr">
        <is>
          <t>Stock-Based Compensation</t>
        </is>
      </c>
      <c r="C7" s="18" t="n">
        <v>753</v>
      </c>
      <c r="D7" s="18" t="n">
        <v>1308</v>
      </c>
      <c r="E7" s="18" t="n">
        <v>1712</v>
      </c>
      <c r="F7" s="18" t="n">
        <v>1940</v>
      </c>
      <c r="G7" s="18" t="n">
        <v>1968</v>
      </c>
      <c r="H7" s="18" t="n">
        <v>2136</v>
      </c>
      <c r="I7" s="18" t="n">
        <v>2388</v>
      </c>
      <c r="J7" s="18" t="n">
        <v>2671</v>
      </c>
      <c r="K7" s="18" t="n">
        <v>2964</v>
      </c>
      <c r="L7" s="18" t="n">
        <v>3280</v>
      </c>
    </row>
    <row r="8" ht="15" customHeight="1">
      <c r="B8" s="14" t="inlineStr">
        <is>
          <t>Changes in Working Cap.</t>
        </is>
      </c>
      <c r="C8" s="13" t="n">
        <v>-11</v>
      </c>
      <c r="D8" s="13" t="n">
        <v>-436</v>
      </c>
      <c r="E8" s="13" t="n">
        <v>601</v>
      </c>
      <c r="F8" s="13" t="n">
        <v>-429</v>
      </c>
      <c r="G8" s="13" t="n">
        <v>-206</v>
      </c>
      <c r="H8" s="13" t="n">
        <v>-250</v>
      </c>
      <c r="I8" s="13" t="n">
        <v>-280</v>
      </c>
      <c r="J8" s="13" t="n">
        <v>-320</v>
      </c>
      <c r="K8" s="13" t="n">
        <v>-350</v>
      </c>
      <c r="L8" s="13" t="n">
        <v>-380</v>
      </c>
    </row>
    <row r="9" ht="15" customHeight="1">
      <c r="B9" s="14" t="inlineStr">
        <is>
          <t>Other Operating Items</t>
        </is>
      </c>
      <c r="C9" s="18" t="n">
        <v>133</v>
      </c>
      <c r="D9" s="18" t="n">
        <v>345</v>
      </c>
      <c r="E9" s="18" t="n">
        <v>-294</v>
      </c>
      <c r="F9" s="18" t="n">
        <v>-233</v>
      </c>
      <c r="G9" s="18" t="n">
        <v>-47</v>
      </c>
      <c r="H9" s="18" t="n">
        <v>100</v>
      </c>
      <c r="I9" s="18" t="n">
        <v>100</v>
      </c>
      <c r="J9" s="18" t="n">
        <v>100</v>
      </c>
      <c r="K9" s="18" t="n">
        <v>100</v>
      </c>
      <c r="L9" s="18" t="n">
        <v>100</v>
      </c>
    </row>
    <row r="10" ht="15" customHeight="1">
      <c r="B10" s="14" t="inlineStr">
        <is>
          <t>Operating Cash Flow</t>
        </is>
      </c>
      <c r="C10" s="13" t="n">
        <v>3250</v>
      </c>
      <c r="D10" s="13" t="n">
        <v>3889</v>
      </c>
      <c r="E10" s="13" t="n">
        <v>5046</v>
      </c>
      <c r="F10" s="13" t="n">
        <v>4884</v>
      </c>
      <c r="G10" s="13" t="n">
        <v>6207</v>
      </c>
      <c r="H10" s="13" t="n">
        <v>7493</v>
      </c>
      <c r="I10" s="13" t="n">
        <v>8558</v>
      </c>
      <c r="J10" s="13" t="n">
        <v>9656</v>
      </c>
      <c r="K10" s="13" t="n">
        <v>10824</v>
      </c>
      <c r="L10" s="13" t="n">
        <v>12290</v>
      </c>
    </row>
    <row r="11" ht="15" customHeight="1">
      <c r="B11" s="14" t="inlineStr">
        <is>
          <t xml:space="preserve">  OCF Growth YoY</t>
        </is>
      </c>
      <c r="D11" s="16" t="n">
        <v>0.197</v>
      </c>
      <c r="E11" s="16" t="n">
        <v>0.297</v>
      </c>
      <c r="F11" s="16" t="n">
        <v>-0.032</v>
      </c>
      <c r="G11" s="16" t="n">
        <v>0.271</v>
      </c>
      <c r="H11" s="16" t="n">
        <v>0.207</v>
      </c>
      <c r="I11" s="16" t="n">
        <v>0.142</v>
      </c>
      <c r="J11" s="16" t="n">
        <v>0.128</v>
      </c>
      <c r="K11" s="16" t="n">
        <v>0.121</v>
      </c>
      <c r="L11" s="16" t="n">
        <v>0.135</v>
      </c>
    </row>
    <row r="12" ht="15" customHeight="1">
      <c r="B12" s="14" t="inlineStr">
        <is>
          <t xml:space="preserve">  OCF Margin</t>
        </is>
      </c>
      <c r="C12" s="41" t="n">
        <v>0.337</v>
      </c>
      <c r="D12" s="41" t="n">
        <v>0.306</v>
      </c>
      <c r="E12" s="41" t="n">
        <v>0.351</v>
      </c>
      <c r="F12" s="41" t="n">
        <v>0.3</v>
      </c>
      <c r="G12" s="41" t="n">
        <v>0.33</v>
      </c>
      <c r="H12" s="41" t="n">
        <v>0.351</v>
      </c>
      <c r="I12" s="41" t="n">
        <v>0.358</v>
      </c>
      <c r="J12" s="41" t="n">
        <v>0.362</v>
      </c>
      <c r="K12" s="41" t="n">
        <v>0.365</v>
      </c>
      <c r="L12" s="41" t="n">
        <v>0.375</v>
      </c>
    </row>
    <row r="13" ht="15" customHeight="1"/>
    <row r="14" ht="18" customHeight="1">
      <c r="B14" s="59" t="inlineStr">
        <is>
          <t>INVESTING CASH FLOW</t>
        </is>
      </c>
    </row>
    <row r="15" ht="15" customHeight="1">
      <c r="B15" s="14" t="inlineStr">
        <is>
          <t>Capital Expenditures</t>
        </is>
      </c>
      <c r="C15" s="18" t="n">
        <v>-53</v>
      </c>
      <c r="D15" s="18" t="n">
        <v>-157</v>
      </c>
      <c r="E15" s="18" t="n">
        <v>-210</v>
      </c>
      <c r="F15" s="18" t="n">
        <v>-191</v>
      </c>
      <c r="G15" s="18" t="n">
        <v>-124</v>
      </c>
      <c r="H15" s="18" t="n">
        <v>-170</v>
      </c>
      <c r="I15" s="18" t="n">
        <v>-200</v>
      </c>
      <c r="J15" s="18" t="n">
        <v>-230</v>
      </c>
      <c r="K15" s="18" t="n">
        <v>-270</v>
      </c>
      <c r="L15" s="18" t="n">
        <v>-310</v>
      </c>
    </row>
    <row r="16" ht="15" customHeight="1">
      <c r="B16" s="14" t="inlineStr">
        <is>
          <t>Cash Acquisitions</t>
        </is>
      </c>
      <c r="C16" s="13" t="n">
        <v>-3064</v>
      </c>
      <c r="D16" s="13" t="n">
        <v>-5682</v>
      </c>
      <c r="E16" s="13" t="n">
        <v>-33</v>
      </c>
      <c r="F16" s="13" t="n">
        <v>-83</v>
      </c>
      <c r="G16" s="13" t="n">
        <v>-184</v>
      </c>
      <c r="H16" s="13" t="n">
        <v>-200</v>
      </c>
      <c r="I16" s="13" t="n">
        <v>-200</v>
      </c>
      <c r="J16" s="13" t="n">
        <v>-300</v>
      </c>
      <c r="K16" s="13" t="n">
        <v>-300</v>
      </c>
      <c r="L16" s="13" t="n">
        <v>-300</v>
      </c>
    </row>
    <row r="17" ht="15" customHeight="1">
      <c r="B17" s="14" t="inlineStr">
        <is>
          <t>Other Investing</t>
        </is>
      </c>
      <c r="C17" s="18" t="n">
        <v>51</v>
      </c>
      <c r="D17" s="18" t="n">
        <v>-24</v>
      </c>
      <c r="E17" s="18" t="n">
        <v>-374</v>
      </c>
      <c r="F17" s="18" t="n">
        <v>422</v>
      </c>
      <c r="G17" s="18" t="n">
        <v>-994</v>
      </c>
      <c r="H17" s="18" t="n">
        <v>-100</v>
      </c>
      <c r="I17" s="18" t="n">
        <v>-100</v>
      </c>
      <c r="J17" s="18" t="n">
        <v>-100</v>
      </c>
      <c r="K17" s="18" t="n">
        <v>-100</v>
      </c>
      <c r="L17" s="18" t="n">
        <v>-100</v>
      </c>
    </row>
    <row r="18" ht="15" customHeight="1">
      <c r="B18" s="14" t="inlineStr">
        <is>
          <t>Investing Cash Flow</t>
        </is>
      </c>
      <c r="C18" s="13" t="n">
        <v>-3965</v>
      </c>
      <c r="D18" s="13" t="n">
        <v>-5421</v>
      </c>
      <c r="E18" s="13" t="n">
        <v>-922</v>
      </c>
      <c r="F18" s="13" t="n">
        <v>-227</v>
      </c>
      <c r="G18" s="13" t="n">
        <v>-2318</v>
      </c>
      <c r="H18" s="13" t="n">
        <v>-470</v>
      </c>
      <c r="I18" s="13" t="n">
        <v>-500</v>
      </c>
      <c r="J18" s="13" t="n">
        <v>-630</v>
      </c>
      <c r="K18" s="13" t="n">
        <v>-670</v>
      </c>
      <c r="L18" s="13" t="n">
        <v>-710</v>
      </c>
    </row>
    <row r="19" ht="15" customHeight="1"/>
    <row r="20" ht="18" customHeight="1">
      <c r="B20" s="59" t="inlineStr">
        <is>
          <t>FINANCING CASH FLOW</t>
        </is>
      </c>
    </row>
    <row r="21" ht="15" customHeight="1">
      <c r="B21" s="14" t="inlineStr">
        <is>
          <t>Debt Issued / (Repaid)</t>
        </is>
      </c>
      <c r="C21" s="18" t="n">
        <v>-1338</v>
      </c>
      <c r="D21" s="18" t="n">
        <v>4882</v>
      </c>
      <c r="E21" s="18" t="n">
        <v>-810</v>
      </c>
      <c r="F21" s="18" t="n">
        <v>-89</v>
      </c>
      <c r="G21" s="18" t="n">
        <v>-71</v>
      </c>
      <c r="H21" s="18" t="n">
        <v>-500</v>
      </c>
      <c r="I21" s="18" t="n">
        <v>-300</v>
      </c>
      <c r="J21" s="18" t="n">
        <v>-400</v>
      </c>
      <c r="K21" s="18" t="n">
        <v>-400</v>
      </c>
      <c r="L21" s="18" t="n">
        <v>-200</v>
      </c>
    </row>
    <row r="22" ht="15" customHeight="1">
      <c r="B22" s="14" t="inlineStr">
        <is>
          <t>Dividends Paid</t>
        </is>
      </c>
      <c r="C22" s="13" t="n">
        <v>-646</v>
      </c>
      <c r="D22" s="13" t="n">
        <v>-774</v>
      </c>
      <c r="E22" s="13" t="n">
        <v>-889</v>
      </c>
      <c r="F22" s="13" t="n">
        <v>-1034</v>
      </c>
      <c r="G22" s="13" t="n">
        <v>-1189</v>
      </c>
      <c r="H22" s="13" t="n">
        <v>-1330</v>
      </c>
      <c r="I22" s="13" t="n">
        <v>-1490</v>
      </c>
      <c r="J22" s="13" t="n">
        <v>-1670</v>
      </c>
      <c r="K22" s="13" t="n">
        <v>-1870</v>
      </c>
      <c r="L22" s="13" t="n">
        <v>-2100</v>
      </c>
    </row>
    <row r="23" ht="15" customHeight="1">
      <c r="B23" s="14" t="inlineStr">
        <is>
          <t>Share Repurchases</t>
        </is>
      </c>
      <c r="C23" s="18" t="n">
        <v>-1388</v>
      </c>
      <c r="D23" s="18" t="n">
        <v>-2472</v>
      </c>
      <c r="E23" s="18" t="n">
        <v>-2600</v>
      </c>
      <c r="F23" s="18" t="n">
        <v>-2990</v>
      </c>
      <c r="G23" s="18" t="n">
        <v>-3754</v>
      </c>
      <c r="H23" s="18" t="n">
        <v>-3500</v>
      </c>
      <c r="I23" s="18" t="n">
        <v>-3500</v>
      </c>
      <c r="J23" s="18" t="n">
        <v>-3800</v>
      </c>
      <c r="K23" s="18" t="n">
        <v>-4000</v>
      </c>
      <c r="L23" s="18" t="n">
        <v>-4200</v>
      </c>
    </row>
    <row r="24" ht="15" customHeight="1">
      <c r="B24" s="14" t="inlineStr">
        <is>
          <t>Stock Issuance &amp; Other</t>
        </is>
      </c>
      <c r="C24" s="13" t="n">
        <v>196</v>
      </c>
      <c r="D24" s="13" t="n">
        <v>162</v>
      </c>
      <c r="E24" s="13" t="n">
        <v>228</v>
      </c>
      <c r="F24" s="13" t="n">
        <v>282</v>
      </c>
      <c r="G24" s="13" t="n">
        <v>3804</v>
      </c>
      <c r="H24" s="13" t="n">
        <v>400</v>
      </c>
      <c r="I24" s="13" t="n">
        <v>400</v>
      </c>
      <c r="J24" s="13" t="n">
        <v>400</v>
      </c>
      <c r="K24" s="13" t="n">
        <v>400</v>
      </c>
      <c r="L24" s="13" t="n">
        <v>400</v>
      </c>
    </row>
    <row r="25" ht="15" customHeight="1">
      <c r="B25" s="14" t="inlineStr">
        <is>
          <t>Financing Cash Flow</t>
        </is>
      </c>
      <c r="C25" s="18" t="n">
        <v>-3176</v>
      </c>
      <c r="D25" s="18" t="n">
        <v>1732</v>
      </c>
      <c r="E25" s="18" t="n">
        <v>-4269</v>
      </c>
      <c r="F25" s="18" t="n">
        <v>-397</v>
      </c>
      <c r="G25" s="18" t="n">
        <v>-1510</v>
      </c>
      <c r="H25" s="18" t="n">
        <v>-4930</v>
      </c>
      <c r="I25" s="18" t="n">
        <v>-4890</v>
      </c>
      <c r="J25" s="18" t="n">
        <v>-5470</v>
      </c>
      <c r="K25" s="18" t="n">
        <v>-5870</v>
      </c>
      <c r="L25" s="18" t="n">
        <v>-6100</v>
      </c>
    </row>
    <row r="26" ht="15" customHeight="1"/>
    <row r="27" ht="18" customHeight="1">
      <c r="B27" s="59" t="inlineStr">
        <is>
          <t>NET CHANGE IN CASH</t>
        </is>
      </c>
    </row>
    <row r="28" ht="15" customHeight="1">
      <c r="B28" s="14" t="inlineStr">
        <is>
          <t>Beginning Cash</t>
        </is>
      </c>
      <c r="C28" s="13" t="n">
        <v>6440</v>
      </c>
      <c r="D28" s="13" t="n">
        <v>2562</v>
      </c>
      <c r="E28" s="13" t="n">
        <v>2796</v>
      </c>
      <c r="F28" s="13" t="n">
        <v>2848</v>
      </c>
      <c r="G28" s="13" t="n">
        <v>3609</v>
      </c>
      <c r="H28" s="13" t="n">
        <v>2884</v>
      </c>
      <c r="I28" s="13" t="n">
        <v>5177</v>
      </c>
      <c r="J28" s="13" t="n">
        <v>8345</v>
      </c>
      <c r="K28" s="13" t="n">
        <v>11901</v>
      </c>
      <c r="L28" s="13" t="n">
        <v>16085</v>
      </c>
    </row>
    <row r="29" ht="15" customHeight="1">
      <c r="B29" s="14" t="inlineStr">
        <is>
          <t>Net Cash Change</t>
        </is>
      </c>
      <c r="C29" s="18" t="n">
        <v>-3878</v>
      </c>
      <c r="D29" s="18" t="n">
        <v>178</v>
      </c>
      <c r="E29" s="18" t="n">
        <v>-145</v>
      </c>
      <c r="F29" s="18" t="n">
        <v>4247</v>
      </c>
      <c r="G29" s="18" t="n">
        <v>2382</v>
      </c>
      <c r="H29" s="18" t="n">
        <v>2293</v>
      </c>
      <c r="I29" s="18" t="n">
        <v>3168</v>
      </c>
      <c r="J29" s="18" t="n">
        <v>3556</v>
      </c>
      <c r="K29" s="18" t="n">
        <v>4184</v>
      </c>
      <c r="L29" s="18" t="n">
        <v>5480</v>
      </c>
    </row>
    <row r="30" ht="15" customHeight="1">
      <c r="B30" s="14" t="inlineStr">
        <is>
          <t>Ending Cash</t>
        </is>
      </c>
      <c r="C30" s="13" t="n">
        <v>2562</v>
      </c>
      <c r="D30" s="13" t="n">
        <v>2796</v>
      </c>
      <c r="E30" s="13" t="n">
        <v>2848</v>
      </c>
      <c r="F30" s="13" t="n">
        <v>3609</v>
      </c>
      <c r="G30" s="13" t="n">
        <v>2884</v>
      </c>
      <c r="H30" s="13" t="n">
        <v>5177</v>
      </c>
      <c r="I30" s="13" t="n">
        <v>8345</v>
      </c>
      <c r="J30" s="13" t="n">
        <v>11901</v>
      </c>
      <c r="K30" s="13" t="n">
        <v>16085</v>
      </c>
      <c r="L30" s="13" t="n">
        <v>21565</v>
      </c>
    </row>
    <row r="31" ht="15" customHeight="1"/>
    <row r="32" ht="18" customHeight="1">
      <c r="B32" s="59" t="inlineStr">
        <is>
          <t>FREE CASH FLOW</t>
        </is>
      </c>
    </row>
    <row r="33" ht="15" customHeight="1">
      <c r="B33" s="14" t="inlineStr">
        <is>
          <t>Free Cash Flow (OCF–CapEx)</t>
        </is>
      </c>
      <c r="C33" s="18" t="n">
        <v>3197</v>
      </c>
      <c r="D33" s="18" t="n">
        <v>3732</v>
      </c>
      <c r="E33" s="18" t="n">
        <v>4836</v>
      </c>
      <c r="F33" s="18" t="n">
        <v>4693</v>
      </c>
      <c r="G33" s="18" t="n">
        <v>6083</v>
      </c>
      <c r="H33" s="18" t="n">
        <v>7323</v>
      </c>
      <c r="I33" s="18" t="n">
        <v>8358</v>
      </c>
      <c r="J33" s="18" t="n">
        <v>9426</v>
      </c>
      <c r="K33" s="18" t="n">
        <v>10554</v>
      </c>
      <c r="L33" s="18" t="n">
        <v>11980</v>
      </c>
    </row>
    <row r="34" ht="15" customHeight="1">
      <c r="B34" s="14" t="inlineStr">
        <is>
          <t xml:space="preserve">  FCF Margin</t>
        </is>
      </c>
      <c r="C34" s="41" t="n">
        <v>0.332</v>
      </c>
      <c r="D34" s="41" t="n">
        <v>0.293</v>
      </c>
      <c r="E34" s="41" t="n">
        <v>0.337</v>
      </c>
      <c r="F34" s="41" t="n">
        <v>0.288</v>
      </c>
      <c r="G34" s="41" t="n">
        <v>0.323</v>
      </c>
      <c r="H34" s="41" t="n">
        <v>0.343</v>
      </c>
      <c r="I34" s="41" t="n">
        <v>0.35</v>
      </c>
      <c r="J34" s="41" t="n">
        <v>0.353</v>
      </c>
      <c r="K34" s="41" t="n">
        <v>0.356</v>
      </c>
      <c r="L34" s="41" t="n">
        <v>0.365</v>
      </c>
    </row>
    <row r="35" ht="15" customHeight="1">
      <c r="B35" s="14" t="inlineStr">
        <is>
          <t xml:space="preserve">  FCF Growth YoY</t>
        </is>
      </c>
      <c r="D35" s="16" t="n">
        <v>0.167</v>
      </c>
      <c r="E35" s="16" t="n">
        <v>0.296</v>
      </c>
      <c r="F35" s="16" t="n">
        <v>-0.03</v>
      </c>
      <c r="G35" s="16" t="n">
        <v>0.296</v>
      </c>
      <c r="H35" s="16" t="n">
        <v>0.204</v>
      </c>
      <c r="I35" s="16" t="n">
        <v>0.141</v>
      </c>
      <c r="J35" s="16" t="n">
        <v>0.128</v>
      </c>
      <c r="K35" s="16" t="n">
        <v>0.119</v>
      </c>
      <c r="L35" s="16" t="n">
        <v>0.135</v>
      </c>
    </row>
    <row r="36" ht="15" customHeight="1">
      <c r="B36" s="14" t="inlineStr">
        <is>
          <t xml:space="preserve">  FCF per Share</t>
        </is>
      </c>
      <c r="C36" s="19" t="n">
        <v>11.71</v>
      </c>
      <c r="D36" s="19" t="n">
        <v>13.14</v>
      </c>
      <c r="E36" s="19" t="n">
        <v>17.09</v>
      </c>
      <c r="F36" s="19" t="n">
        <v>16.52</v>
      </c>
      <c r="G36" s="19" t="n">
        <v>21.5</v>
      </c>
      <c r="H36" s="19" t="n">
        <v>26.06</v>
      </c>
      <c r="I36" s="19" t="n">
        <v>29.96</v>
      </c>
      <c r="J36" s="19" t="n">
        <v>34.03</v>
      </c>
      <c r="K36" s="19" t="n">
        <v>38.38</v>
      </c>
      <c r="L36" s="19" t="n">
        <v>43.88</v>
      </c>
    </row>
    <row r="37" ht="15" customHeight="1">
      <c r="B37" s="14" t="inlineStr">
        <is>
          <t>Levered FCF</t>
        </is>
      </c>
      <c r="C37" s="18" t="n">
        <v>2642</v>
      </c>
      <c r="D37" s="18" t="n">
        <v>3400</v>
      </c>
      <c r="E37" s="18" t="n">
        <v>4591</v>
      </c>
      <c r="F37" s="18" t="n">
        <v>4247</v>
      </c>
      <c r="G37" s="18" t="n">
        <v>5083</v>
      </c>
      <c r="H37" s="18" t="n">
        <v>6823</v>
      </c>
      <c r="I37" s="18" t="n">
        <v>7858</v>
      </c>
      <c r="J37" s="18" t="n">
        <v>8926</v>
      </c>
      <c r="K37" s="18" t="n">
        <v>10054</v>
      </c>
      <c r="L37" s="18" t="n">
        <v>11280</v>
      </c>
    </row>
    <row r="38" ht="15" customHeight="1"/>
    <row r="39" ht="18" customHeight="1">
      <c r="B39" s="59" t="inlineStr">
        <is>
          <t>CAPITAL ALLOCATION</t>
        </is>
      </c>
    </row>
    <row r="40" ht="15" customHeight="1">
      <c r="B40" s="14" t="inlineStr">
        <is>
          <t>Buybacks as % of OCF</t>
        </is>
      </c>
      <c r="C40" s="41" t="n">
        <v>0.427</v>
      </c>
      <c r="D40" s="41" t="n">
        <v>0.636</v>
      </c>
      <c r="E40" s="41" t="n">
        <v>0.515</v>
      </c>
      <c r="F40" s="41" t="n">
        <v>0.612</v>
      </c>
      <c r="G40" s="41" t="n">
        <v>0.605</v>
      </c>
      <c r="H40" s="41" t="n">
        <v>0.467</v>
      </c>
      <c r="I40" s="41" t="n">
        <v>0.409</v>
      </c>
      <c r="J40" s="41" t="n">
        <v>0.394</v>
      </c>
      <c r="K40" s="41" t="n">
        <v>0.369</v>
      </c>
      <c r="L40" s="41" t="n">
        <v>0.342</v>
      </c>
    </row>
    <row r="41" ht="15" customHeight="1">
      <c r="B41" s="14" t="inlineStr">
        <is>
          <t>Dividends as % of OCF</t>
        </is>
      </c>
      <c r="C41" s="16" t="n">
        <v>0.199</v>
      </c>
      <c r="D41" s="16" t="n">
        <v>0.199</v>
      </c>
      <c r="E41" s="16" t="n">
        <v>0.176</v>
      </c>
      <c r="F41" s="16" t="n">
        <v>0.212</v>
      </c>
      <c r="G41" s="16" t="n">
        <v>0.191</v>
      </c>
      <c r="H41" s="16" t="n">
        <v>0.177</v>
      </c>
      <c r="I41" s="16" t="n">
        <v>0.174</v>
      </c>
      <c r="J41" s="16" t="n">
        <v>0.173</v>
      </c>
      <c r="K41" s="16" t="n">
        <v>0.173</v>
      </c>
      <c r="L41" s="16" t="n">
        <v>0.171</v>
      </c>
    </row>
    <row r="42" ht="15" customHeight="1">
      <c r="B42" s="14" t="inlineStr">
        <is>
          <t>CapEx as % of Revenue</t>
        </is>
      </c>
      <c r="C42" s="41" t="n">
        <v>0.006</v>
      </c>
      <c r="D42" s="41" t="n">
        <v>0.012</v>
      </c>
      <c r="E42" s="41" t="n">
        <v>0.015</v>
      </c>
      <c r="F42" s="41" t="n">
        <v>0.012</v>
      </c>
      <c r="G42" s="41" t="n">
        <v>0.006999999999999999</v>
      </c>
      <c r="H42" s="41" t="n">
        <v>0.008</v>
      </c>
      <c r="I42" s="41" t="n">
        <v>0.008</v>
      </c>
      <c r="J42" s="41" t="n">
        <v>0.009000000000000001</v>
      </c>
      <c r="K42" s="41" t="n">
        <v>0.009000000000000001</v>
      </c>
      <c r="L42" s="41" t="n">
        <v>0.009000000000000001</v>
      </c>
    </row>
  </sheetData>
  <mergeCells count="7">
    <mergeCell ref="B27:O27"/>
    <mergeCell ref="B4:O4"/>
    <mergeCell ref="B39:O39"/>
    <mergeCell ref="B2:O2"/>
    <mergeCell ref="B20:O20"/>
    <mergeCell ref="B14:O14"/>
    <mergeCell ref="B32:O32"/>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K63"/>
  <sheetViews>
    <sheetView showGridLines="0" workbookViewId="0">
      <selection activeCell="A1" sqref="A1"/>
    </sheetView>
  </sheetViews>
  <sheetFormatPr baseColWidth="8" defaultRowHeight="15" outlineLevelCol="0"/>
  <cols>
    <col width="3"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6" customHeight="1"/>
    <row r="2" ht="22" customHeight="1">
      <c r="B2" s="33" t="inlineStr">
        <is>
          <t>INTUIT INC. — DISCOUNTED CASH FLOW MODEL (USD millions)</t>
        </is>
      </c>
    </row>
    <row r="3">
      <c r="B3" s="34" t="inlineStr">
        <is>
          <t>5-Year Unlevered FCF + Terminal Value | Base Case | Fiscal Year Ending July 31</t>
        </is>
      </c>
    </row>
    <row r="4"/>
    <row r="5">
      <c r="B5" s="22" t="inlineStr">
        <is>
          <t>SECTION 1 — WACC CALCULATION</t>
        </is>
      </c>
    </row>
    <row r="6">
      <c r="B6" s="11" t="inlineStr">
        <is>
          <t>Parameter</t>
        </is>
      </c>
      <c r="C6" s="11" t="inlineStr">
        <is>
          <t>Input</t>
        </is>
      </c>
      <c r="D6" s="11" t="inlineStr">
        <is>
          <t>Notes</t>
        </is>
      </c>
      <c r="E6" s="11" t="inlineStr"/>
    </row>
    <row r="7" ht="15" customHeight="1">
      <c r="B7" s="46" t="inlineStr">
        <is>
          <t>Risk-Free Rate (10Y UST)</t>
        </is>
      </c>
      <c r="C7" s="43" t="n">
        <v>0.0442</v>
      </c>
      <c r="D7" s="60" t="inlineStr">
        <is>
          <t>Current 10Y Treasury yield (May 2026)</t>
        </is>
      </c>
    </row>
    <row r="8" ht="15" customHeight="1">
      <c r="B8" s="61" t="inlineStr">
        <is>
          <t>Equity Risk Premium (ERP)</t>
        </is>
      </c>
      <c r="C8" s="50" t="n">
        <v>0.0418</v>
      </c>
      <c r="D8" s="62" t="inlineStr">
        <is>
          <t>Damodaran US ERP estimate</t>
        </is>
      </c>
    </row>
    <row r="9" ht="15" customHeight="1">
      <c r="B9" s="46" t="inlineStr">
        <is>
          <t>Raw Beta</t>
        </is>
      </c>
      <c r="C9" s="63" t="n">
        <v>0.96</v>
      </c>
      <c r="D9" s="60" t="inlineStr">
        <is>
          <t>AlphaSpread 2-yr weekly regression</t>
        </is>
      </c>
    </row>
    <row r="10" ht="15" customHeight="1">
      <c r="B10" s="61" t="inlineStr">
        <is>
          <t>Adjusted Beta</t>
        </is>
      </c>
      <c r="C10" s="64" t="n">
        <v>0.97</v>
      </c>
      <c r="D10" s="62">
        <f>0.67×Raw + 0.33×1.0 (Blume adj.)</f>
        <v/>
      </c>
    </row>
    <row r="11" ht="15" customHeight="1">
      <c r="B11" s="46" t="inlineStr">
        <is>
          <t>Cost of Equity (CAPM)</t>
        </is>
      </c>
      <c r="C11" s="43" t="n">
        <v>0.0843</v>
      </c>
      <c r="D11" s="60" t="inlineStr">
        <is>
          <t>Rf + Adj.Beta×ERP = 4.42%+0.97×4.18%</t>
        </is>
      </c>
    </row>
    <row r="12" ht="15" customHeight="1">
      <c r="B12" s="61" t="inlineStr">
        <is>
          <t>Pre-tax Cost of Debt</t>
        </is>
      </c>
      <c r="C12" s="50" t="n">
        <v>0.0512</v>
      </c>
      <c r="D12" s="62" t="inlineStr">
        <is>
          <t>Approx. from interest/debt ratio</t>
        </is>
      </c>
    </row>
    <row r="13" ht="15" customHeight="1">
      <c r="B13" s="46" t="inlineStr">
        <is>
          <t>Effective Tax Rate</t>
        </is>
      </c>
      <c r="C13" s="43" t="n">
        <v>0.2</v>
      </c>
      <c r="D13" s="60" t="inlineStr">
        <is>
          <t>FY25A rate; company target ~20%</t>
        </is>
      </c>
    </row>
    <row r="14" ht="15" customHeight="1">
      <c r="B14" s="61" t="inlineStr">
        <is>
          <t>After-tax Cost of Debt</t>
        </is>
      </c>
      <c r="C14" s="50" t="n">
        <v>0.041</v>
      </c>
      <c r="D14" s="62" t="inlineStr">
        <is>
          <t>5.12%×(1–20%)</t>
        </is>
      </c>
    </row>
    <row r="15" ht="15" customHeight="1">
      <c r="B15" s="46" t="inlineStr">
        <is>
          <t>Equity Weight (E/V)</t>
        </is>
      </c>
      <c r="C15" s="43" t="n">
        <v>0.9522</v>
      </c>
      <c r="D15" s="60" t="inlineStr">
        <is>
          <t>Market Cap/(Mkt Cap + Net Debt)</t>
        </is>
      </c>
    </row>
    <row r="16" ht="15" customHeight="1">
      <c r="B16" s="61" t="inlineStr">
        <is>
          <t>Debt Weight (D/V)</t>
        </is>
      </c>
      <c r="C16" s="50" t="n">
        <v>0.0478</v>
      </c>
      <c r="D16" s="62" t="inlineStr">
        <is>
          <t>Net Debt/(Mkt Cap + Net Debt)</t>
        </is>
      </c>
    </row>
    <row r="17" ht="15" customHeight="1">
      <c r="B17" s="3" t="inlineStr">
        <is>
          <t>WACC</t>
        </is>
      </c>
      <c r="C17" s="65" t="n">
        <v>0.0827</v>
      </c>
      <c r="D17" s="66">
        <f>Ke×E/V + Kd×(1-T)×D/V</f>
        <v/>
      </c>
    </row>
    <row r="18"/>
    <row r="19"/>
    <row r="20">
      <c r="B20" s="22" t="inlineStr">
        <is>
          <t>SECTION 2 — UNLEVERED FREE CASH FLOW PROJECTIONS</t>
        </is>
      </c>
    </row>
    <row r="21">
      <c r="B21" s="11" t="inlineStr">
        <is>
          <t>Metric (USD millions)</t>
        </is>
      </c>
      <c r="C21" s="11" t="inlineStr">
        <is>
          <t>FY2026E</t>
        </is>
      </c>
      <c r="D21" s="11" t="inlineStr">
        <is>
          <t>FY2027E</t>
        </is>
      </c>
      <c r="E21" s="11" t="inlineStr">
        <is>
          <t>FY2028E</t>
        </is>
      </c>
      <c r="F21" s="11" t="inlineStr">
        <is>
          <t>FY2029E</t>
        </is>
      </c>
      <c r="G21" s="11" t="inlineStr">
        <is>
          <t>FY2030E</t>
        </is>
      </c>
      <c r="H21" s="11" t="inlineStr">
        <is>
          <t>Notes</t>
        </is>
      </c>
      <c r="I21" s="11" t="n"/>
      <c r="J21" s="11" t="n"/>
    </row>
    <row r="22" ht="15" customHeight="1">
      <c r="B22" s="52" t="inlineStr">
        <is>
          <t>Revenue</t>
        </is>
      </c>
      <c r="C22" s="67" t="n">
        <v>21358</v>
      </c>
      <c r="D22" s="67" t="n">
        <v>23877</v>
      </c>
      <c r="E22" s="67" t="n">
        <v>26713</v>
      </c>
      <c r="F22" s="67" t="n">
        <v>29640</v>
      </c>
      <c r="G22" s="67" t="n">
        <v>32800</v>
      </c>
      <c r="H22" s="68" t="inlineStr">
        <is>
          <t>Base case from Revenue Model</t>
        </is>
      </c>
      <c r="I22" s="69" t="n"/>
      <c r="J22" s="69" t="n"/>
    </row>
    <row r="23" ht="15" customHeight="1">
      <c r="B23" s="14" t="inlineStr">
        <is>
          <t xml:space="preserve">  YoY Growth</t>
        </is>
      </c>
      <c r="C23" s="16" t="n">
        <v>0.134</v>
      </c>
      <c r="D23" s="16" t="n">
        <v>0.118</v>
      </c>
      <c r="E23" s="16" t="n">
        <v>0.119</v>
      </c>
      <c r="F23" s="16" t="n">
        <v>0.109</v>
      </c>
      <c r="G23" s="16" t="n">
        <v>0.106</v>
      </c>
      <c r="H23" s="70" t="inlineStr">
        <is>
          <t>Base scenario</t>
        </is>
      </c>
    </row>
    <row r="24" ht="15" customHeight="1">
      <c r="B24" s="12" t="inlineStr">
        <is>
          <t>Adj. EBITDA</t>
        </is>
      </c>
      <c r="C24" s="13" t="n">
        <v>9053</v>
      </c>
      <c r="D24" s="13" t="n">
        <v>10258</v>
      </c>
      <c r="E24" s="13" t="n">
        <v>11465</v>
      </c>
      <c r="F24" s="13" t="n">
        <v>12840</v>
      </c>
      <c r="G24" s="13" t="n">
        <v>14330</v>
      </c>
      <c r="H24" s="71" t="inlineStr">
        <is>
          <t>42.4%→43.7% margin expansion</t>
        </is>
      </c>
      <c r="I24" s="7" t="n"/>
      <c r="J24" s="7" t="n"/>
    </row>
    <row r="25" ht="15" customHeight="1">
      <c r="B25" s="14" t="inlineStr">
        <is>
          <t xml:space="preserve">  EBITDA Margin</t>
        </is>
      </c>
      <c r="C25" s="16" t="n">
        <v>0.424</v>
      </c>
      <c r="D25" s="16" t="n">
        <v>0.429</v>
      </c>
      <c r="E25" s="16" t="n">
        <v>0.429</v>
      </c>
      <c r="F25" s="16" t="n">
        <v>0.433</v>
      </c>
      <c r="G25" s="16" t="n">
        <v>0.4370000000000001</v>
      </c>
      <c r="H25" s="70" t="inlineStr">
        <is>
          <t>AI-driven operating leverage</t>
        </is>
      </c>
    </row>
    <row r="26" ht="15" customHeight="1">
      <c r="B26" s="12" t="inlineStr">
        <is>
          <t>(–) D&amp;A</t>
        </is>
      </c>
      <c r="C26" s="13" t="n">
        <v>-748</v>
      </c>
      <c r="D26" s="13" t="n">
        <v>-836</v>
      </c>
      <c r="E26" s="13" t="n">
        <v>-935</v>
      </c>
      <c r="F26" s="13" t="n">
        <v>-1036</v>
      </c>
      <c r="G26" s="13" t="n">
        <v>-1148</v>
      </c>
      <c r="H26" s="71" t="inlineStr">
        <is>
          <t>~3.5% of revenue</t>
        </is>
      </c>
      <c r="I26" s="7" t="n"/>
      <c r="J26" s="7" t="n"/>
    </row>
    <row r="27" ht="15" customHeight="1">
      <c r="B27" s="14" t="inlineStr">
        <is>
          <t>EBIT</t>
        </is>
      </c>
      <c r="C27" s="18" t="n">
        <v>8305</v>
      </c>
      <c r="D27" s="18" t="n">
        <v>9422</v>
      </c>
      <c r="E27" s="18" t="n">
        <v>10530</v>
      </c>
      <c r="F27" s="18" t="n">
        <v>11804</v>
      </c>
      <c r="G27" s="18" t="n">
        <v>13182</v>
      </c>
    </row>
    <row r="28" ht="15" customHeight="1">
      <c r="B28" s="12" t="inlineStr">
        <is>
          <t>(–) Taxes on EBIT</t>
        </is>
      </c>
      <c r="C28" s="13" t="n">
        <v>-1661</v>
      </c>
      <c r="D28" s="13" t="n">
        <v>-1884</v>
      </c>
      <c r="E28" s="13" t="n">
        <v>-2106</v>
      </c>
      <c r="F28" s="13" t="n">
        <v>-2361</v>
      </c>
      <c r="G28" s="13" t="n">
        <v>-2636</v>
      </c>
      <c r="H28" s="71" t="inlineStr">
        <is>
          <t>20% effective rate</t>
        </is>
      </c>
      <c r="I28" s="7" t="n"/>
      <c r="J28" s="7" t="n"/>
    </row>
    <row r="29" ht="15" customHeight="1">
      <c r="B29" s="52" t="inlineStr">
        <is>
          <t>NOPAT</t>
        </is>
      </c>
      <c r="C29" s="67" t="n">
        <v>6644</v>
      </c>
      <c r="D29" s="67" t="n">
        <v>7538</v>
      </c>
      <c r="E29" s="67" t="n">
        <v>8424</v>
      </c>
      <c r="F29" s="67" t="n">
        <v>9443</v>
      </c>
      <c r="G29" s="67" t="n">
        <v>10546</v>
      </c>
      <c r="H29" s="68" t="inlineStr">
        <is>
          <t>Net Operating Profit After Tax</t>
        </is>
      </c>
      <c r="I29" s="69" t="n"/>
      <c r="J29" s="69" t="n"/>
    </row>
    <row r="30" ht="15" customHeight="1">
      <c r="B30" s="12" t="inlineStr">
        <is>
          <t>(+) D&amp;A (add back)</t>
        </is>
      </c>
      <c r="C30" s="13" t="n">
        <v>748</v>
      </c>
      <c r="D30" s="13" t="n">
        <v>836</v>
      </c>
      <c r="E30" s="13" t="n">
        <v>935</v>
      </c>
      <c r="F30" s="13" t="n">
        <v>1036</v>
      </c>
      <c r="G30" s="13" t="n">
        <v>1148</v>
      </c>
      <c r="H30" s="71" t="inlineStr">
        <is>
          <t>Non-cash add-back</t>
        </is>
      </c>
      <c r="I30" s="7" t="n"/>
      <c r="J30" s="7" t="n"/>
    </row>
    <row r="31" ht="15" customHeight="1">
      <c r="B31" s="14" t="inlineStr">
        <is>
          <t>(–) CapEx</t>
        </is>
      </c>
      <c r="C31" s="18" t="n">
        <v>-170</v>
      </c>
      <c r="D31" s="18" t="n">
        <v>-200</v>
      </c>
      <c r="E31" s="18" t="n">
        <v>-230</v>
      </c>
      <c r="F31" s="18" t="n">
        <v>-270</v>
      </c>
      <c r="G31" s="18" t="n">
        <v>-310</v>
      </c>
      <c r="H31" s="70" t="inlineStr">
        <is>
          <t>~0.8–0.9% of revenue</t>
        </is>
      </c>
    </row>
    <row r="32" ht="15" customHeight="1">
      <c r="B32" s="12" t="inlineStr">
        <is>
          <t>(–) Δ Working Capital</t>
        </is>
      </c>
      <c r="C32" s="13" t="n">
        <v>-250</v>
      </c>
      <c r="D32" s="13" t="n">
        <v>-280</v>
      </c>
      <c r="E32" s="13" t="n">
        <v>-320</v>
      </c>
      <c r="F32" s="13" t="n">
        <v>-350</v>
      </c>
      <c r="G32" s="13" t="n">
        <v>-380</v>
      </c>
      <c r="H32" s="71" t="inlineStr">
        <is>
          <t>Modest WC consumption</t>
        </is>
      </c>
      <c r="I32" s="7" t="n"/>
      <c r="J32" s="7" t="n"/>
    </row>
    <row r="33" ht="15" customHeight="1">
      <c r="B33" s="52" t="inlineStr">
        <is>
          <t>Unlevered FCF</t>
        </is>
      </c>
      <c r="C33" s="67" t="n">
        <v>6972</v>
      </c>
      <c r="D33" s="67" t="n">
        <v>7894</v>
      </c>
      <c r="E33" s="67" t="n">
        <v>8809</v>
      </c>
      <c r="F33" s="67" t="n">
        <v>9859</v>
      </c>
      <c r="G33" s="67" t="n">
        <v>11004</v>
      </c>
      <c r="H33" s="68" t="inlineStr">
        <is>
          <t>NOPAT+D&amp;A–CapEx–ΔNWC</t>
        </is>
      </c>
      <c r="I33" s="69" t="n"/>
      <c r="J33" s="69" t="n"/>
    </row>
    <row r="34" ht="15" customHeight="1">
      <c r="B34" s="12" t="inlineStr">
        <is>
          <t xml:space="preserve">  UFCF Growth</t>
        </is>
      </c>
      <c r="C34" s="7" t="n"/>
      <c r="D34" s="41" t="n">
        <v>0.132</v>
      </c>
      <c r="E34" s="41" t="n">
        <v>0.116</v>
      </c>
      <c r="F34" s="41" t="n">
        <v>0.119</v>
      </c>
      <c r="G34" s="41" t="n">
        <v>0.116</v>
      </c>
      <c r="H34" s="7" t="n"/>
      <c r="I34" s="7" t="n"/>
      <c r="J34" s="7" t="n"/>
    </row>
    <row r="35" ht="15" customHeight="1">
      <c r="B35" s="14" t="inlineStr">
        <is>
          <t xml:space="preserve">  UFCF Margin</t>
        </is>
      </c>
      <c r="C35" s="16" t="n">
        <v>0.326</v>
      </c>
      <c r="D35" s="16" t="n">
        <v>0.331</v>
      </c>
      <c r="E35" s="16" t="n">
        <v>0.33</v>
      </c>
      <c r="F35" s="16" t="n">
        <v>0.333</v>
      </c>
      <c r="G35" s="16" t="n">
        <v>0.335</v>
      </c>
    </row>
    <row r="36" ht="15" customHeight="1">
      <c r="B36" s="12" t="inlineStr">
        <is>
          <t>Discount Factor</t>
        </is>
      </c>
      <c r="C36" s="72" t="n">
        <v>0.924</v>
      </c>
      <c r="D36" s="72" t="n">
        <v>0.853</v>
      </c>
      <c r="E36" s="72" t="n">
        <v>0.787</v>
      </c>
      <c r="F36" s="72" t="n">
        <v>0.727</v>
      </c>
      <c r="G36" s="72" t="n">
        <v>0.671</v>
      </c>
      <c r="H36" s="71" t="inlineStr">
        <is>
          <t>@ WACC 8.27%; mid-year conv.</t>
        </is>
      </c>
      <c r="I36" s="7" t="n"/>
      <c r="J36" s="7" t="n"/>
    </row>
    <row r="37" ht="15" customHeight="1">
      <c r="B37" s="14" t="inlineStr">
        <is>
          <t>PV of UFCF</t>
        </is>
      </c>
      <c r="C37" s="18" t="n">
        <v>6439</v>
      </c>
      <c r="D37" s="18" t="n">
        <v>6733</v>
      </c>
      <c r="E37" s="18" t="n">
        <v>6932</v>
      </c>
      <c r="F37" s="18" t="n">
        <v>7167</v>
      </c>
      <c r="G37" s="18" t="n">
        <v>7384</v>
      </c>
      <c r="H37" s="70" t="inlineStr">
        <is>
          <t>Discounted to today</t>
        </is>
      </c>
    </row>
    <row r="38"/>
    <row r="39"/>
    <row r="40">
      <c r="B40" s="22" t="inlineStr">
        <is>
          <t>SECTION 3 — TERMINAL VALUE &amp; ENTERPRISE VALUE BRIDGE</t>
        </is>
      </c>
    </row>
    <row r="41" ht="15" customHeight="1">
      <c r="B41" s="14" t="inlineStr">
        <is>
          <t>Terminal Growth Rate (Perpetuity)</t>
        </is>
      </c>
      <c r="C41" s="43" t="n">
        <v>0.0003500000000000001</v>
      </c>
      <c r="D41" s="70" t="inlineStr">
        <is>
          <t>INPUT — base case 3.5%</t>
        </is>
      </c>
    </row>
    <row r="42" ht="15" customHeight="1">
      <c r="B42" s="12" t="inlineStr">
        <is>
          <t>Terminal Year UFCF</t>
        </is>
      </c>
      <c r="C42" s="13" t="n">
        <v>11004</v>
      </c>
      <c r="D42" s="71" t="inlineStr">
        <is>
          <t>FY2030E UFCF</t>
        </is>
      </c>
    </row>
    <row r="43" ht="15" customHeight="1">
      <c r="B43" s="14" t="inlineStr">
        <is>
          <t>Terminal Value (Perpetuity Method)</t>
        </is>
      </c>
      <c r="C43" s="18" t="n">
        <v>233590</v>
      </c>
      <c r="D43" s="70" t="inlineStr">
        <is>
          <t>TV = UFCF × (1+g) / (WACC–g)</t>
        </is>
      </c>
    </row>
    <row r="44" ht="15" customHeight="1">
      <c r="B44" s="12" t="inlineStr">
        <is>
          <t>PV of Terminal Value</t>
        </is>
      </c>
      <c r="C44" s="13" t="n">
        <v>156717</v>
      </c>
      <c r="D44" s="71" t="inlineStr">
        <is>
          <t>TV / (1+WACC)^5</t>
        </is>
      </c>
    </row>
    <row r="45" ht="15" customHeight="1">
      <c r="B45" s="14" t="inlineStr">
        <is>
          <t>% of Total EV (TV share)</t>
        </is>
      </c>
      <c r="C45" s="16" t="n">
        <v>0.00681</v>
      </c>
      <c r="D45" s="70" t="inlineStr">
        <is>
          <t>Should be &lt; 75% ✓</t>
        </is>
      </c>
    </row>
    <row r="46" ht="15" customHeight="1"/>
    <row r="47" ht="15" customHeight="1">
      <c r="B47" s="14" t="inlineStr">
        <is>
          <t>Sum PV of UFCFs (FY26–30)</t>
        </is>
      </c>
      <c r="C47" s="18" t="n">
        <v>34655</v>
      </c>
      <c r="D47" s="70" t="inlineStr">
        <is>
          <t>Sum of 5-year PV of UFCFs</t>
        </is>
      </c>
    </row>
    <row r="48" ht="15" customHeight="1">
      <c r="B48" s="12" t="inlineStr">
        <is>
          <t>+ PV of Terminal Value</t>
        </is>
      </c>
      <c r="C48" s="13" t="n">
        <v>156717</v>
      </c>
      <c r="D48" s="7" t="n"/>
    </row>
    <row r="49" ht="15" customHeight="1">
      <c r="B49" s="26" t="inlineStr">
        <is>
          <t>Enterprise Value</t>
        </is>
      </c>
      <c r="C49" s="73" t="n">
        <v>191372</v>
      </c>
      <c r="D49" s="74" t="n"/>
    </row>
    <row r="50" ht="15" customHeight="1">
      <c r="B50" s="12" t="inlineStr">
        <is>
          <t>(–) Net Debt</t>
        </is>
      </c>
      <c r="C50" s="13" t="n">
        <v>-2583</v>
      </c>
      <c r="D50" s="71" t="inlineStr">
        <is>
          <t>Approx. FY25 net debt</t>
        </is>
      </c>
    </row>
    <row r="51" ht="15" customHeight="1">
      <c r="B51" s="14" t="inlineStr">
        <is>
          <t>(+) Cash &amp; Investments</t>
        </is>
      </c>
      <c r="C51" s="18" t="n">
        <v>2917</v>
      </c>
      <c r="D51" s="70" t="inlineStr">
        <is>
          <t>FY25A cash + short inv.</t>
        </is>
      </c>
    </row>
    <row r="52" ht="15" customHeight="1">
      <c r="B52" s="26" t="inlineStr">
        <is>
          <t>Equity Value</t>
        </is>
      </c>
      <c r="C52" s="73" t="n">
        <v>191706</v>
      </c>
      <c r="D52" s="74" t="n"/>
    </row>
    <row r="53" ht="15" customHeight="1">
      <c r="B53" s="14" t="inlineStr">
        <is>
          <t>Diluted Shares Outstanding</t>
        </is>
      </c>
      <c r="C53" s="75" t="n">
        <v>283</v>
      </c>
      <c r="D53" s="70" t="inlineStr">
        <is>
          <t>Millions; FY25A</t>
        </is>
      </c>
    </row>
    <row r="54" ht="15" customHeight="1">
      <c r="B54" s="26" t="inlineStr">
        <is>
          <t>Implied Share Price (DCF)</t>
        </is>
      </c>
      <c r="C54" s="76" t="n">
        <v>677</v>
      </c>
      <c r="D54" s="77">
        <f>Equity Value / Shares</f>
        <v/>
      </c>
    </row>
    <row r="55" ht="15" customHeight="1"/>
    <row r="56" ht="15" customHeight="1">
      <c r="B56" s="12" t="inlineStr">
        <is>
          <t>Exit Multiple Method (Cross-check)</t>
        </is>
      </c>
      <c r="C56" s="7" t="n"/>
      <c r="D56" s="7" t="n"/>
    </row>
    <row r="57" ht="15" customHeight="1">
      <c r="B57" s="14" t="inlineStr">
        <is>
          <t xml:space="preserve">  Terminal EBITDA</t>
        </is>
      </c>
      <c r="C57" s="18" t="n">
        <v>14330</v>
      </c>
      <c r="D57" s="70" t="inlineStr">
        <is>
          <t>FY2030E Adj. EBITDA</t>
        </is>
      </c>
    </row>
    <row r="58" ht="15" customHeight="1">
      <c r="B58" s="12" t="inlineStr">
        <is>
          <t xml:space="preserve">  Exit EV/EBITDA Multiple</t>
        </is>
      </c>
      <c r="C58" s="78" t="n">
        <v>18</v>
      </c>
      <c r="D58" s="71" t="inlineStr">
        <is>
          <t>INPUT — peer median ~18x</t>
        </is>
      </c>
    </row>
    <row r="59" ht="15" customHeight="1">
      <c r="B59" s="14" t="inlineStr">
        <is>
          <t xml:space="preserve">  Terminal EV (Exit Multiple)</t>
        </is>
      </c>
      <c r="C59" s="18" t="n">
        <v>257940</v>
      </c>
      <c r="D59" s="70" t="inlineStr">
        <is>
          <t>18.0×$14,330M</t>
        </is>
      </c>
    </row>
    <row r="60" ht="15" customHeight="1">
      <c r="B60" s="12" t="inlineStr">
        <is>
          <t xml:space="preserve">  PV of TV (Exit Multiple)</t>
        </is>
      </c>
      <c r="C60" s="13" t="n">
        <v>173072</v>
      </c>
      <c r="D60" s="71" t="inlineStr">
        <is>
          <t>Discounted at WACC</t>
        </is>
      </c>
    </row>
    <row r="61" ht="15" customHeight="1">
      <c r="B61" s="14" t="inlineStr">
        <is>
          <t xml:space="preserve">  Implied Price (Exit Multiple)</t>
        </is>
      </c>
      <c r="C61" s="79" t="n">
        <v>725</v>
      </c>
      <c r="D61" s="70" t="inlineStr">
        <is>
          <t>Cross-check to perpetuity</t>
        </is>
      </c>
    </row>
    <row r="62" ht="15" customHeight="1"/>
    <row r="63" ht="15" customHeight="1">
      <c r="B63" s="26" t="inlineStr">
        <is>
          <t>Average Implied Price (Both Methods)</t>
        </is>
      </c>
      <c r="C63" s="76" t="n">
        <v>701</v>
      </c>
      <c r="D63" s="77">
        <f>($677 + $725) / 2 — directional</f>
        <v/>
      </c>
    </row>
  </sheetData>
  <mergeCells count="5">
    <mergeCell ref="B40:K40"/>
    <mergeCell ref="B2:K2"/>
    <mergeCell ref="B20:K20"/>
    <mergeCell ref="B3:K3"/>
    <mergeCell ref="B5:K5"/>
  </mergeCells>
  <pageMargins left="0.75" right="0.75" top="1" bottom="1" header="0.5" footer="0.5"/>
</worksheet>
</file>

<file path=xl/worksheets/sheet7.xml><?xml version="1.0" encoding="utf-8"?>
<worksheet xmlns="http://schemas.openxmlformats.org/spreadsheetml/2006/main">
  <sheetPr>
    <tabColor rgb="00C00000"/>
    <outlinePr summaryBelow="1" summaryRight="1"/>
    <pageSetUpPr/>
  </sheetPr>
  <dimension ref="A1:N46"/>
  <sheetViews>
    <sheetView showGridLines="0" workbookViewId="0">
      <selection activeCell="A1" sqref="A1"/>
    </sheetView>
  </sheetViews>
  <sheetFormatPr baseColWidth="8" defaultRowHeight="15" outlineLevelCol="0"/>
  <cols>
    <col width="3" customWidth="1" min="1" max="1"/>
    <col width="2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ht="6" customHeight="1"/>
    <row r="2" ht="22" customHeight="1">
      <c r="B2" s="33" t="inlineStr">
        <is>
          <t>INTUIT INC. — SENSITIVITY ANALYSIS</t>
        </is>
      </c>
    </row>
    <row r="3"/>
    <row r="4">
      <c r="B4" s="22" t="inlineStr">
        <is>
          <t>TABLE 1: Implied DCF Share Price — WACC vs. Terminal Growth Rate</t>
        </is>
      </c>
    </row>
    <row r="5">
      <c r="B5" s="11" t="inlineStr">
        <is>
          <t>WACC \ TGR</t>
        </is>
      </c>
      <c r="C5" s="11" t="inlineStr">
        <is>
          <t>2.5%</t>
        </is>
      </c>
      <c r="D5" s="11" t="inlineStr">
        <is>
          <t>3.0%</t>
        </is>
      </c>
      <c r="E5" s="11" t="inlineStr">
        <is>
          <t>3.5%</t>
        </is>
      </c>
      <c r="F5" s="11" t="inlineStr">
        <is>
          <t>4.0%</t>
        </is>
      </c>
      <c r="G5" s="11" t="inlineStr">
        <is>
          <t>4.5%</t>
        </is>
      </c>
      <c r="H5" s="11" t="n"/>
    </row>
    <row r="6" ht="16" customHeight="1">
      <c r="B6" s="80" t="inlineStr">
        <is>
          <t>7.00%</t>
        </is>
      </c>
      <c r="C6" s="81" t="n">
        <v>755</v>
      </c>
      <c r="D6" s="81" t="n">
        <v>838</v>
      </c>
      <c r="E6" s="81" t="n">
        <v>943</v>
      </c>
      <c r="F6" s="81" t="n">
        <v>1085</v>
      </c>
      <c r="G6" s="81" t="n">
        <v>1282</v>
      </c>
    </row>
    <row r="7" ht="16" customHeight="1">
      <c r="B7" s="80" t="inlineStr">
        <is>
          <t>7.50%</t>
        </is>
      </c>
      <c r="C7" s="81" t="n">
        <v>679</v>
      </c>
      <c r="D7" s="81" t="n">
        <v>744</v>
      </c>
      <c r="E7" s="81" t="n">
        <v>824</v>
      </c>
      <c r="F7" s="81" t="n">
        <v>928</v>
      </c>
      <c r="G7" s="81" t="n">
        <v>1067</v>
      </c>
    </row>
    <row r="8" ht="16" customHeight="1">
      <c r="B8" s="80" t="inlineStr">
        <is>
          <t>8.00%</t>
        </is>
      </c>
      <c r="C8" s="81" t="n">
        <v>617</v>
      </c>
      <c r="D8" s="81" t="n">
        <v>669</v>
      </c>
      <c r="E8" s="81" t="n">
        <v>732</v>
      </c>
      <c r="F8" s="81" t="n">
        <v>812</v>
      </c>
      <c r="G8" s="81" t="n">
        <v>914</v>
      </c>
    </row>
    <row r="9" ht="16" customHeight="1">
      <c r="B9" s="80" t="inlineStr">
        <is>
          <t>8.27%</t>
        </is>
      </c>
      <c r="C9" s="81" t="n">
        <v>588</v>
      </c>
      <c r="D9" s="81" t="n">
        <v>634</v>
      </c>
      <c r="E9" s="82" t="n">
        <v>691</v>
      </c>
      <c r="F9" s="81" t="n">
        <v>760</v>
      </c>
      <c r="G9" s="81" t="n">
        <v>848</v>
      </c>
    </row>
    <row r="10" ht="16" customHeight="1">
      <c r="B10" s="80" t="inlineStr">
        <is>
          <t>9.00%</t>
        </is>
      </c>
      <c r="C10" s="81" t="n">
        <v>522</v>
      </c>
      <c r="D10" s="81" t="n">
        <v>557</v>
      </c>
      <c r="E10" s="81" t="n">
        <v>599</v>
      </c>
      <c r="F10" s="81" t="n">
        <v>649</v>
      </c>
      <c r="G10" s="81" t="n">
        <v>710</v>
      </c>
    </row>
    <row r="11" ht="16" customHeight="1">
      <c r="B11" s="80" t="inlineStr">
        <is>
          <t>9.50%</t>
        </is>
      </c>
      <c r="C11" s="81" t="n">
        <v>485</v>
      </c>
      <c r="D11" s="81" t="n">
        <v>515</v>
      </c>
      <c r="E11" s="81" t="n">
        <v>550</v>
      </c>
      <c r="F11" s="81" t="n">
        <v>591</v>
      </c>
      <c r="G11" s="81" t="n">
        <v>640</v>
      </c>
    </row>
    <row r="12" ht="16" customHeight="1">
      <c r="B12" s="80" t="inlineStr">
        <is>
          <t>10.00%</t>
        </is>
      </c>
      <c r="C12" s="81" t="n">
        <v>454</v>
      </c>
      <c r="D12" s="81" t="n">
        <v>479</v>
      </c>
      <c r="E12" s="81" t="n">
        <v>508</v>
      </c>
      <c r="F12" s="81" t="n">
        <v>542</v>
      </c>
      <c r="G12" s="81" t="n">
        <v>582</v>
      </c>
    </row>
    <row r="13"/>
    <row r="14"/>
    <row r="15"/>
    <row r="16">
      <c r="B16" s="22" t="inlineStr">
        <is>
          <t>TABLE 2: Implied DCF Share Price — FY26–30 Rev CAGR vs. Terminal EBITDA Margin</t>
        </is>
      </c>
    </row>
    <row r="17">
      <c r="B17" s="11" t="inlineStr">
        <is>
          <t>Rev CAGR \ EBITDA Mgn</t>
        </is>
      </c>
      <c r="C17" s="11" t="inlineStr">
        <is>
          <t>38.0%</t>
        </is>
      </c>
      <c r="D17" s="11" t="inlineStr">
        <is>
          <t>40.0%</t>
        </is>
      </c>
      <c r="E17" s="11" t="inlineStr">
        <is>
          <t>42.5%</t>
        </is>
      </c>
      <c r="F17" s="11" t="inlineStr">
        <is>
          <t>45.0%</t>
        </is>
      </c>
      <c r="G17" s="11" t="inlineStr">
        <is>
          <t>48.0%</t>
        </is>
      </c>
      <c r="H17" s="11" t="n"/>
    </row>
    <row r="18" ht="16" customHeight="1">
      <c r="B18" s="80" t="inlineStr">
        <is>
          <t>8.0%</t>
        </is>
      </c>
      <c r="C18" s="81" t="n">
        <v>522</v>
      </c>
      <c r="D18" s="81" t="n">
        <v>550</v>
      </c>
      <c r="E18" s="81" t="n">
        <v>584</v>
      </c>
      <c r="F18" s="81" t="n">
        <v>618</v>
      </c>
      <c r="G18" s="81" t="n">
        <v>659</v>
      </c>
    </row>
    <row r="19" ht="16" customHeight="1">
      <c r="B19" s="80" t="inlineStr">
        <is>
          <t>10.0%</t>
        </is>
      </c>
      <c r="C19" s="81" t="n">
        <v>572</v>
      </c>
      <c r="D19" s="81" t="n">
        <v>602</v>
      </c>
      <c r="E19" s="81" t="n">
        <v>640</v>
      </c>
      <c r="F19" s="81" t="n">
        <v>677</v>
      </c>
      <c r="G19" s="81" t="n">
        <v>723</v>
      </c>
    </row>
    <row r="20" ht="16" customHeight="1">
      <c r="B20" s="80" t="inlineStr">
        <is>
          <t>12.0%</t>
        </is>
      </c>
      <c r="C20" s="81" t="n">
        <v>626</v>
      </c>
      <c r="D20" s="81" t="n">
        <v>659</v>
      </c>
      <c r="E20" s="81" t="n">
        <v>700</v>
      </c>
      <c r="F20" s="81" t="n">
        <v>741</v>
      </c>
      <c r="G20" s="81" t="n">
        <v>791</v>
      </c>
    </row>
    <row r="21" ht="16" customHeight="1">
      <c r="B21" s="80" t="inlineStr">
        <is>
          <t>13.8%</t>
        </is>
      </c>
      <c r="C21" s="81" t="n">
        <v>676</v>
      </c>
      <c r="D21" s="81" t="n">
        <v>712</v>
      </c>
      <c r="E21" s="82" t="n">
        <v>756</v>
      </c>
      <c r="F21" s="81" t="n">
        <v>801</v>
      </c>
      <c r="G21" s="81" t="n">
        <v>854</v>
      </c>
    </row>
    <row r="22" ht="16" customHeight="1">
      <c r="B22" s="80" t="inlineStr">
        <is>
          <t>15.0%</t>
        </is>
      </c>
      <c r="C22" s="81" t="n">
        <v>714</v>
      </c>
      <c r="D22" s="81" t="n">
        <v>752</v>
      </c>
      <c r="E22" s="81" t="n">
        <v>799</v>
      </c>
      <c r="F22" s="81" t="n">
        <v>846</v>
      </c>
      <c r="G22" s="81" t="n">
        <v>902</v>
      </c>
    </row>
    <row r="23" ht="16" customHeight="1">
      <c r="B23" s="80" t="inlineStr">
        <is>
          <t>17.0%</t>
        </is>
      </c>
      <c r="C23" s="81" t="n">
        <v>779</v>
      </c>
      <c r="D23" s="81" t="n">
        <v>820</v>
      </c>
      <c r="E23" s="81" t="n">
        <v>871</v>
      </c>
      <c r="F23" s="81" t="n">
        <v>922</v>
      </c>
      <c r="G23" s="81" t="n">
        <v>983</v>
      </c>
    </row>
    <row r="24"/>
    <row r="25"/>
    <row r="26"/>
    <row r="27">
      <c r="B27" s="22" t="inlineStr">
        <is>
          <t>TABLE 3: BULL / BASE / BEAR SCENARIO COMPARISON</t>
        </is>
      </c>
    </row>
    <row r="28">
      <c r="B28" s="11" t="inlineStr">
        <is>
          <t>Metric</t>
        </is>
      </c>
      <c r="C28" s="11" t="inlineStr">
        <is>
          <t>FY26E</t>
        </is>
      </c>
      <c r="D28" s="11" t="inlineStr">
        <is>
          <t>FY27E</t>
        </is>
      </c>
      <c r="E28" s="11" t="inlineStr">
        <is>
          <t>FY28E</t>
        </is>
      </c>
      <c r="F28" s="11" t="inlineStr">
        <is>
          <t>FY29E</t>
        </is>
      </c>
      <c r="G28" s="11" t="inlineStr">
        <is>
          <t>FY30E</t>
        </is>
      </c>
      <c r="H28" s="11" t="inlineStr">
        <is>
          <t>Implied PT</t>
        </is>
      </c>
    </row>
    <row r="29" ht="18" customHeight="1">
      <c r="B29" s="83" t="inlineStr">
        <is>
          <t>▶ BULL CASE</t>
        </is>
      </c>
    </row>
    <row r="30" ht="15" customHeight="1">
      <c r="B30" s="8" t="inlineStr">
        <is>
          <t>Revenue ($M)</t>
        </is>
      </c>
      <c r="C30" s="13" t="n">
        <v>21800</v>
      </c>
      <c r="D30" s="13" t="n">
        <v>25200</v>
      </c>
      <c r="E30" s="13" t="n">
        <v>28900</v>
      </c>
      <c r="F30" s="13" t="n">
        <v>32900</v>
      </c>
      <c r="G30" s="13" t="n">
        <v>37200</v>
      </c>
    </row>
    <row r="31" ht="15" customHeight="1">
      <c r="B31" s="8" t="inlineStr">
        <is>
          <t>EBITDA Margin</t>
        </is>
      </c>
      <c r="C31" s="41" t="n">
        <v>0.00435</v>
      </c>
      <c r="D31" s="41" t="n">
        <v>0.00445</v>
      </c>
      <c r="E31" s="41" t="n">
        <v>0.00455</v>
      </c>
      <c r="F31" s="41" t="n">
        <v>0.00465</v>
      </c>
      <c r="G31" s="41" t="n">
        <v>0.00475</v>
      </c>
    </row>
    <row r="32" ht="15" customHeight="1">
      <c r="B32" s="8" t="inlineStr">
        <is>
          <t>Adj. EPS</t>
        </is>
      </c>
      <c r="C32" s="19" t="n">
        <v>26</v>
      </c>
      <c r="D32" s="19" t="n">
        <v>30.5</v>
      </c>
      <c r="E32" s="19" t="n">
        <v>35</v>
      </c>
      <c r="F32" s="19" t="n">
        <v>40</v>
      </c>
      <c r="G32" s="19" t="n">
        <v>46</v>
      </c>
    </row>
    <row r="33" ht="15" customHeight="1">
      <c r="B33" s="8" t="inlineStr">
        <is>
          <t>FCF ($M)</t>
        </is>
      </c>
      <c r="C33" s="13" t="n">
        <v>8400</v>
      </c>
      <c r="D33" s="13" t="n">
        <v>9800</v>
      </c>
      <c r="E33" s="13" t="n">
        <v>11200</v>
      </c>
      <c r="F33" s="13" t="n">
        <v>12800</v>
      </c>
      <c r="G33" s="13" t="n">
        <v>14500</v>
      </c>
    </row>
    <row r="34" ht="15" customHeight="1">
      <c r="B34" s="8" t="inlineStr">
        <is>
          <t>Implied Price</t>
        </is>
      </c>
      <c r="H34" s="84" t="n">
        <v>850</v>
      </c>
    </row>
    <row r="35" ht="18" customHeight="1">
      <c r="B35" s="83" t="inlineStr">
        <is>
          <t>▶ BASE CASE</t>
        </is>
      </c>
    </row>
    <row r="36" ht="15" customHeight="1">
      <c r="B36" s="8" t="inlineStr">
        <is>
          <t>Revenue ($M)</t>
        </is>
      </c>
      <c r="C36" s="13" t="n">
        <v>21358</v>
      </c>
      <c r="D36" s="13" t="n">
        <v>23877</v>
      </c>
      <c r="E36" s="13" t="n">
        <v>26713</v>
      </c>
      <c r="F36" s="13" t="n">
        <v>29640</v>
      </c>
      <c r="G36" s="13" t="n">
        <v>32800</v>
      </c>
    </row>
    <row r="37" ht="15" customHeight="1">
      <c r="B37" s="8" t="inlineStr">
        <is>
          <t>EBITDA Margin</t>
        </is>
      </c>
      <c r="C37" s="41" t="n">
        <v>0.00424</v>
      </c>
      <c r="D37" s="41" t="n">
        <v>0.00429</v>
      </c>
      <c r="E37" s="41" t="n">
        <v>0.00429</v>
      </c>
      <c r="F37" s="41" t="n">
        <v>0.00433</v>
      </c>
      <c r="G37" s="41" t="n">
        <v>0.00437</v>
      </c>
    </row>
    <row r="38" ht="15" customHeight="1">
      <c r="B38" s="8" t="inlineStr">
        <is>
          <t>Adj. EPS</t>
        </is>
      </c>
      <c r="C38" s="19" t="n">
        <v>24.55</v>
      </c>
      <c r="D38" s="19" t="n">
        <v>28.68</v>
      </c>
      <c r="E38" s="19" t="n">
        <v>31.42</v>
      </c>
      <c r="F38" s="19" t="n">
        <v>34.2</v>
      </c>
      <c r="G38" s="19" t="n">
        <v>37.5</v>
      </c>
    </row>
    <row r="39" ht="15" customHeight="1">
      <c r="B39" s="8" t="inlineStr">
        <is>
          <t>FCF ($M)</t>
        </is>
      </c>
      <c r="C39" s="13" t="n">
        <v>7845</v>
      </c>
      <c r="D39" s="13" t="n">
        <v>8239</v>
      </c>
      <c r="E39" s="13" t="n">
        <v>8972</v>
      </c>
      <c r="F39" s="13" t="n">
        <v>9950</v>
      </c>
      <c r="G39" s="13" t="n">
        <v>11000</v>
      </c>
    </row>
    <row r="40" ht="15" customHeight="1">
      <c r="B40" s="8" t="inlineStr">
        <is>
          <t>Implied Price</t>
        </is>
      </c>
      <c r="H40" s="85" t="n">
        <v>560</v>
      </c>
    </row>
    <row r="41" ht="18" customHeight="1">
      <c r="B41" s="83" t="inlineStr">
        <is>
          <t>▶ BEAR CASE</t>
        </is>
      </c>
    </row>
    <row r="42" ht="15" customHeight="1">
      <c r="B42" s="8" t="inlineStr">
        <is>
          <t>Revenue ($M)</t>
        </is>
      </c>
      <c r="C42" s="13" t="n">
        <v>20100</v>
      </c>
      <c r="D42" s="13" t="n">
        <v>22000</v>
      </c>
      <c r="E42" s="13" t="n">
        <v>23800</v>
      </c>
      <c r="F42" s="13" t="n">
        <v>25600</v>
      </c>
      <c r="G42" s="13" t="n">
        <v>27400</v>
      </c>
    </row>
    <row r="43" ht="15" customHeight="1">
      <c r="B43" s="8" t="inlineStr">
        <is>
          <t>EBITDA Margin</t>
        </is>
      </c>
      <c r="C43" s="41" t="n">
        <v>0.0039</v>
      </c>
      <c r="D43" s="41" t="n">
        <v>0.004</v>
      </c>
      <c r="E43" s="41" t="n">
        <v>0.004099999999999999</v>
      </c>
      <c r="F43" s="41" t="n">
        <v>0.00415</v>
      </c>
      <c r="G43" s="41" t="n">
        <v>0.0042</v>
      </c>
    </row>
    <row r="44" ht="15" customHeight="1">
      <c r="B44" s="8" t="inlineStr">
        <is>
          <t>Adj. EPS</t>
        </is>
      </c>
      <c r="C44" s="19" t="n">
        <v>21</v>
      </c>
      <c r="D44" s="19" t="n">
        <v>23</v>
      </c>
      <c r="E44" s="19" t="n">
        <v>25</v>
      </c>
      <c r="F44" s="19" t="n">
        <v>27</v>
      </c>
      <c r="G44" s="19" t="n">
        <v>29.5</v>
      </c>
    </row>
    <row r="45" ht="15" customHeight="1">
      <c r="B45" s="8" t="inlineStr">
        <is>
          <t>FCF ($M)</t>
        </is>
      </c>
      <c r="C45" s="13" t="n">
        <v>6800</v>
      </c>
      <c r="D45" s="13" t="n">
        <v>7200</v>
      </c>
      <c r="E45" s="13" t="n">
        <v>7800</v>
      </c>
      <c r="F45" s="13" t="n">
        <v>8300</v>
      </c>
      <c r="G45" s="13" t="n">
        <v>8900</v>
      </c>
    </row>
    <row r="46" ht="15" customHeight="1">
      <c r="B46" s="8" t="inlineStr">
        <is>
          <t>Implied Price</t>
        </is>
      </c>
      <c r="H46" s="86" t="n">
        <v>340</v>
      </c>
    </row>
  </sheetData>
  <mergeCells count="7">
    <mergeCell ref="B41:H41"/>
    <mergeCell ref="B35:H35"/>
    <mergeCell ref="B27:K27"/>
    <mergeCell ref="B29:H29"/>
    <mergeCell ref="B2:N2"/>
    <mergeCell ref="B4:I4"/>
    <mergeCell ref="B16:J16"/>
  </mergeCells>
  <conditionalFormatting sqref="C6:G12">
    <cfRule type="colorScale" priority="1">
      <colorScale>
        <cfvo type="min"/>
        <cfvo type="percentile" val="50"/>
        <cfvo type="max"/>
        <color rgb="00F8696B"/>
        <color rgb="00FFEB84"/>
        <color rgb="0063BE7B"/>
      </colorScale>
    </cfRule>
  </conditionalFormatting>
  <conditionalFormatting sqref="C18:G23">
    <cfRule type="colorScale" priority="2">
      <colorScale>
        <cfvo type="min"/>
        <cfvo type="percentile" val="50"/>
        <cfvo type="max"/>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tabColor rgb="00E36C09"/>
    <outlinePr summaryBelow="1" summaryRight="1"/>
    <pageSetUpPr/>
  </sheetPr>
  <dimension ref="A1:O26"/>
  <sheetViews>
    <sheetView showGridLines="0" workbookViewId="0">
      <selection activeCell="A1" sqref="A1"/>
    </sheetView>
  </sheetViews>
  <sheetFormatPr baseColWidth="8" defaultRowHeight="15" outlineLevelCol="0"/>
  <cols>
    <col width="3" customWidth="1" min="1" max="1"/>
    <col width="8" customWidth="1" min="2" max="2"/>
    <col width="25"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6" customHeight="1"/>
    <row r="2" ht="22" customHeight="1">
      <c r="B2" s="33" t="inlineStr">
        <is>
          <t>INTUIT INC. — COMPARABLE COMPANIES ANALYSIS (USD billions / multiples)</t>
        </is>
      </c>
    </row>
    <row r="3">
      <c r="B3" s="34" t="inlineStr">
        <is>
          <t>As of May 22, 2026 | TTM Multiples | Sources: StockAnalysis, Finance Analyst Tool</t>
        </is>
      </c>
    </row>
    <row r="4"/>
    <row r="5">
      <c r="B5" s="11" t="inlineStr">
        <is>
          <t>Ticker</t>
        </is>
      </c>
      <c r="C5" s="11" t="inlineStr">
        <is>
          <t>Company Name</t>
        </is>
      </c>
      <c r="D5" s="11" t="inlineStr">
        <is>
          <t>Mkt Cap ($B)</t>
        </is>
      </c>
      <c r="E5" s="11" t="inlineStr">
        <is>
          <t>Rev TTM ($B)</t>
        </is>
      </c>
      <c r="F5" s="11" t="inlineStr">
        <is>
          <t>EBITDA Mgn%</t>
        </is>
      </c>
      <c r="G5" s="11" t="inlineStr">
        <is>
          <t>P/E (TTM)</t>
        </is>
      </c>
      <c r="H5" s="11" t="inlineStr">
        <is>
          <t>EV/EBITDA</t>
        </is>
      </c>
      <c r="I5" s="11" t="inlineStr">
        <is>
          <t>P/S</t>
        </is>
      </c>
      <c r="J5" s="11" t="inlineStr">
        <is>
          <t>Rev Grwth%</t>
        </is>
      </c>
      <c r="K5" s="11" t="inlineStr">
        <is>
          <t>Gross Mgn%</t>
        </is>
      </c>
      <c r="L5" s="11" t="n"/>
      <c r="M5" s="11" t="n"/>
      <c r="N5" s="11" t="n"/>
    </row>
    <row r="6" ht="16" customHeight="1">
      <c r="B6" s="3" t="inlineStr">
        <is>
          <t>INTU</t>
        </is>
      </c>
      <c r="C6" s="87" t="inlineStr">
        <is>
          <t>Intuit Inc.</t>
        </is>
      </c>
      <c r="D6" s="88" t="n">
        <v>84</v>
      </c>
      <c r="E6" s="88" t="n">
        <v>18.8</v>
      </c>
      <c r="F6" s="89" t="n">
        <v>0.304</v>
      </c>
      <c r="G6" s="90" t="n">
        <v>18.5</v>
      </c>
      <c r="H6" s="90" t="n">
        <v>12.9</v>
      </c>
      <c r="I6" s="90" t="n">
        <v>4.1</v>
      </c>
      <c r="J6" s="89" t="n">
        <v>0.156</v>
      </c>
      <c r="K6" s="89" t="n">
        <v>0.804</v>
      </c>
    </row>
    <row r="7" ht="16" customHeight="1">
      <c r="B7" s="14" t="inlineStr">
        <is>
          <t>CRM</t>
        </is>
      </c>
      <c r="C7" s="91" t="inlineStr">
        <is>
          <t>Salesforce Inc.</t>
        </is>
      </c>
      <c r="D7" s="92" t="n">
        <v>169.4</v>
      </c>
      <c r="E7" s="92" t="n">
        <v>37.9</v>
      </c>
      <c r="F7" s="93" t="n">
        <v>0.215</v>
      </c>
      <c r="G7" s="94" t="n">
        <v>22.7</v>
      </c>
      <c r="H7" s="94" t="n">
        <v>14.1</v>
      </c>
      <c r="I7" s="94" t="n">
        <v>4.1</v>
      </c>
      <c r="J7" s="93" t="n">
        <v>0.112</v>
      </c>
      <c r="K7" s="93" t="n">
        <v>0.778</v>
      </c>
    </row>
    <row r="8" ht="16" customHeight="1">
      <c r="B8" s="12" t="inlineStr">
        <is>
          <t>ADBE</t>
        </is>
      </c>
      <c r="C8" s="95" t="inlineStr">
        <is>
          <t>Adobe Inc.</t>
        </is>
      </c>
      <c r="D8" s="96" t="n">
        <v>98.2</v>
      </c>
      <c r="E8" s="96" t="n">
        <v>22.2</v>
      </c>
      <c r="F8" s="97" t="n">
        <v>0.325</v>
      </c>
      <c r="G8" s="98" t="n">
        <v>13.6</v>
      </c>
      <c r="H8" s="98" t="n">
        <v>9.9</v>
      </c>
      <c r="I8" s="98" t="n">
        <v>4</v>
      </c>
      <c r="J8" s="97" t="n">
        <v>0.101</v>
      </c>
      <c r="K8" s="97" t="n">
        <v>0.887</v>
      </c>
    </row>
    <row r="9" ht="16" customHeight="1">
      <c r="B9" s="14" t="inlineStr">
        <is>
          <t>ADP</t>
        </is>
      </c>
      <c r="C9" s="91" t="inlineStr">
        <is>
          <t>Automatic Data Processing</t>
        </is>
      </c>
      <c r="D9" s="92" t="n">
        <v>89.09999999999999</v>
      </c>
      <c r="E9" s="92" t="n">
        <v>19.5</v>
      </c>
      <c r="F9" s="93" t="n">
        <v>0.224</v>
      </c>
      <c r="G9" s="94" t="n">
        <v>20.5</v>
      </c>
      <c r="H9" s="94" t="n">
        <v>13.8</v>
      </c>
      <c r="I9" s="94" t="n">
        <v>4.1</v>
      </c>
      <c r="J9" s="93" t="n">
        <v>0.07099999999999999</v>
      </c>
      <c r="K9" s="93" t="n">
        <v>0.456</v>
      </c>
    </row>
    <row r="10" ht="16" customHeight="1">
      <c r="B10" s="12" t="inlineStr">
        <is>
          <t>PAYX</t>
        </is>
      </c>
      <c r="C10" s="95" t="inlineStr">
        <is>
          <t>Paychex Inc.</t>
        </is>
      </c>
      <c r="D10" s="96" t="n">
        <v>34.3</v>
      </c>
      <c r="E10" s="96" t="n">
        <v>5.7</v>
      </c>
      <c r="F10" s="97" t="n">
        <v>0.431</v>
      </c>
      <c r="G10" s="98" t="n">
        <v>21</v>
      </c>
      <c r="H10" s="98" t="n">
        <v>13.4</v>
      </c>
      <c r="I10" s="98" t="n">
        <v>5.4</v>
      </c>
      <c r="J10" s="97" t="n">
        <v>0.068</v>
      </c>
      <c r="K10" s="97" t="n">
        <v>0.7120000000000001</v>
      </c>
    </row>
    <row r="11" ht="16" customHeight="1">
      <c r="B11" s="14" t="inlineStr">
        <is>
          <t>HRB</t>
        </is>
      </c>
      <c r="C11" s="91" t="inlineStr">
        <is>
          <t>H&amp;R Block Inc.</t>
        </is>
      </c>
      <c r="D11" s="92" t="n">
        <v>4.9</v>
      </c>
      <c r="E11" s="92" t="n">
        <v>3.8</v>
      </c>
      <c r="F11" s="93" t="n">
        <v>0.32</v>
      </c>
      <c r="G11" s="94" t="n">
        <v>6.6</v>
      </c>
      <c r="H11" s="94" t="n">
        <v>5.7</v>
      </c>
      <c r="I11" s="94" t="n">
        <v>1.2</v>
      </c>
      <c r="J11" s="93" t="n">
        <v>0.045</v>
      </c>
      <c r="K11" s="93" t="n">
        <v>0.552</v>
      </c>
    </row>
    <row r="12" ht="16" customHeight="1">
      <c r="B12" s="12" t="inlineStr">
        <is>
          <t>NOW</t>
        </is>
      </c>
      <c r="C12" s="95" t="inlineStr">
        <is>
          <t>ServiceNow Inc.</t>
        </is>
      </c>
      <c r="D12" s="96" t="n">
        <v>103.7</v>
      </c>
      <c r="E12" s="96" t="n">
        <v>11.1</v>
      </c>
      <c r="F12" s="97" t="n">
        <v>0.283</v>
      </c>
      <c r="G12" s="98" t="n">
        <v>59</v>
      </c>
      <c r="H12" s="98" t="n">
        <v>33.8</v>
      </c>
      <c r="I12" s="98" t="n">
        <v>7.4</v>
      </c>
      <c r="J12" s="97" t="n">
        <v>0.215</v>
      </c>
      <c r="K12" s="97" t="n">
        <v>0.7909999999999999</v>
      </c>
    </row>
    <row r="13" ht="16" customHeight="1">
      <c r="B13" s="14" t="inlineStr">
        <is>
          <t>WDAY</t>
        </is>
      </c>
      <c r="C13" s="91" t="inlineStr">
        <is>
          <t>Workday Inc.</t>
        </is>
      </c>
      <c r="D13" s="92" t="n">
        <v>33.4</v>
      </c>
      <c r="E13" s="92" t="n">
        <v>8.6</v>
      </c>
      <c r="F13" s="93" t="n">
        <v>0.184</v>
      </c>
      <c r="G13" s="94" t="n">
        <v>48.2</v>
      </c>
      <c r="H13" s="94" t="n">
        <v>24.8</v>
      </c>
      <c r="I13" s="94" t="n">
        <v>3.5</v>
      </c>
      <c r="J13" s="93" t="n">
        <v>0.165</v>
      </c>
      <c r="K13" s="93" t="n">
        <v>0.764</v>
      </c>
    </row>
    <row r="14"/>
    <row r="15">
      <c r="B15" s="22" t="inlineStr">
        <is>
          <t>STATISTICAL SUMMARY (Excluding INTU)</t>
        </is>
      </c>
    </row>
    <row r="16" ht="15" customHeight="1">
      <c r="B16" s="99" t="inlineStr"/>
      <c r="C16" s="100" t="inlineStr">
        <is>
          <t>MEAN (ex-INTU)</t>
        </is>
      </c>
      <c r="D16" s="101" t="n"/>
      <c r="E16" s="101" t="n"/>
      <c r="F16" s="101" t="n"/>
      <c r="G16" s="101" t="n"/>
      <c r="H16" s="102" t="n">
        <v>27.4</v>
      </c>
      <c r="I16" s="102" t="n">
        <v>16.5</v>
      </c>
      <c r="J16" s="102" t="n">
        <v>4.2</v>
      </c>
      <c r="K16" s="101" t="n"/>
      <c r="L16" s="101" t="n"/>
      <c r="M16" s="101" t="n"/>
    </row>
    <row r="17" ht="15" customHeight="1">
      <c r="B17" s="99" t="inlineStr"/>
      <c r="C17" s="100" t="inlineStr">
        <is>
          <t>MEDIAN (ex-INTU)</t>
        </is>
      </c>
      <c r="D17" s="101" t="n"/>
      <c r="E17" s="101" t="n"/>
      <c r="F17" s="101" t="n"/>
      <c r="G17" s="101" t="n"/>
      <c r="H17" s="102" t="n">
        <v>21</v>
      </c>
      <c r="I17" s="102" t="n">
        <v>13.8</v>
      </c>
      <c r="J17" s="102" t="n">
        <v>4.1</v>
      </c>
      <c r="K17" s="101" t="n"/>
      <c r="L17" s="101" t="n"/>
      <c r="M17" s="101" t="n"/>
    </row>
    <row r="18" ht="15" customHeight="1">
      <c r="B18" s="99" t="inlineStr"/>
      <c r="C18" s="100" t="inlineStr">
        <is>
          <t>25th Percentile</t>
        </is>
      </c>
      <c r="D18" s="101" t="n"/>
      <c r="E18" s="101" t="n"/>
      <c r="F18" s="101" t="n"/>
      <c r="G18" s="101" t="n"/>
      <c r="H18" s="102" t="n">
        <v>13.6</v>
      </c>
      <c r="I18" s="102" t="n">
        <v>9.9</v>
      </c>
      <c r="J18" s="101" t="n"/>
      <c r="K18" s="101" t="n"/>
      <c r="L18" s="101" t="n"/>
      <c r="M18" s="101" t="n"/>
    </row>
    <row r="19" ht="15" customHeight="1">
      <c r="B19" s="99" t="inlineStr"/>
      <c r="C19" s="100" t="inlineStr">
        <is>
          <t>75th Percentile</t>
        </is>
      </c>
      <c r="D19" s="101" t="n"/>
      <c r="E19" s="101" t="n"/>
      <c r="F19" s="101" t="n"/>
      <c r="G19" s="101" t="n"/>
      <c r="H19" s="102" t="n">
        <v>48.2</v>
      </c>
      <c r="I19" s="102" t="n">
        <v>24.8</v>
      </c>
      <c r="J19" s="101" t="n"/>
      <c r="K19" s="101" t="n"/>
      <c r="L19" s="101" t="n"/>
      <c r="M19" s="101" t="n"/>
    </row>
    <row r="20"/>
    <row r="21"/>
    <row r="22">
      <c r="B22" s="22" t="inlineStr">
        <is>
          <t>IMPLIED VALUATION FROM COMPS</t>
        </is>
      </c>
    </row>
    <row r="23">
      <c r="B23" s="11" t="inlineStr">
        <is>
          <t>Method</t>
        </is>
      </c>
      <c r="C23" s="11" t="inlineStr">
        <is>
          <t>Multiple Applied</t>
        </is>
      </c>
      <c r="D23" s="11" t="inlineStr">
        <is>
          <t>INTU Metric</t>
        </is>
      </c>
      <c r="E23" s="11" t="inlineStr">
        <is>
          <t>EV or Value</t>
        </is>
      </c>
      <c r="F23" s="11" t="inlineStr">
        <is>
          <t>Net Debt Adj.</t>
        </is>
      </c>
      <c r="G23" s="11" t="inlineStr">
        <is>
          <t>Shares</t>
        </is>
      </c>
      <c r="H23" s="11" t="inlineStr">
        <is>
          <t>Implied Price</t>
        </is>
      </c>
    </row>
    <row r="24" ht="15" customHeight="1">
      <c r="B24" s="95" t="inlineStr">
        <is>
          <t>P/E × NTM Adj. EPS</t>
        </is>
      </c>
      <c r="C24" s="95" t="inlineStr">
        <is>
          <t>21.0x</t>
        </is>
      </c>
      <c r="D24" s="95" t="inlineStr">
        <is>
          <t>$24.55 (FY26E EPS)</t>
        </is>
      </c>
      <c r="E24" s="95" t="inlineStr">
        <is>
          <t>—</t>
        </is>
      </c>
      <c r="F24" s="95" t="inlineStr">
        <is>
          <t>—</t>
        </is>
      </c>
      <c r="G24" s="95" t="inlineStr">
        <is>
          <t>283M</t>
        </is>
      </c>
      <c r="H24" s="95" t="inlineStr">
        <is>
          <t>$516</t>
        </is>
      </c>
    </row>
    <row r="25" ht="15" customHeight="1">
      <c r="B25" s="91" t="inlineStr">
        <is>
          <t>EV/EBITDA × NTM EBITDA</t>
        </is>
      </c>
      <c r="C25" s="91" t="inlineStr">
        <is>
          <t>13.8x</t>
        </is>
      </c>
      <c r="D25" s="91" t="inlineStr">
        <is>
          <t>$9,053M (FY26E)</t>
        </is>
      </c>
      <c r="E25" s="91" t="inlineStr">
        <is>
          <t>$125.0B</t>
        </is>
      </c>
      <c r="F25" s="91" t="inlineStr">
        <is>
          <t>–$2.6B</t>
        </is>
      </c>
      <c r="G25" s="91" t="inlineStr">
        <is>
          <t>283M</t>
        </is>
      </c>
      <c r="H25" s="91" t="inlineStr">
        <is>
          <t>$432</t>
        </is>
      </c>
    </row>
    <row r="26" ht="15" customHeight="1">
      <c r="B26" s="95" t="inlineStr">
        <is>
          <t>P/S × NTM Revenue</t>
        </is>
      </c>
      <c r="C26" s="95" t="inlineStr">
        <is>
          <t>4.1x</t>
        </is>
      </c>
      <c r="D26" s="95" t="inlineStr">
        <is>
          <t>$21,358M (FY26E)</t>
        </is>
      </c>
      <c r="E26" s="95" t="inlineStr">
        <is>
          <t>—</t>
        </is>
      </c>
      <c r="F26" s="95" t="inlineStr">
        <is>
          <t>—</t>
        </is>
      </c>
      <c r="G26" s="95" t="inlineStr">
        <is>
          <t>283M</t>
        </is>
      </c>
      <c r="H26" s="95" t="inlineStr">
        <is>
          <t>$309</t>
        </is>
      </c>
    </row>
  </sheetData>
  <mergeCells count="4">
    <mergeCell ref="B3:O3"/>
    <mergeCell ref="B22:K22"/>
    <mergeCell ref="B2:O2"/>
    <mergeCell ref="B15:N15"/>
  </mergeCells>
  <pageMargins left="0.75" right="0.75" top="1" bottom="1" header="0.5" footer="0.5"/>
</worksheet>
</file>

<file path=xl/worksheets/sheet9.xml><?xml version="1.0" encoding="utf-8"?>
<worksheet xmlns="http://schemas.openxmlformats.org/spreadsheetml/2006/main">
  <sheetPr>
    <tabColor rgb="00404040"/>
    <outlinePr summaryBelow="1" summaryRight="1"/>
    <pageSetUpPr/>
  </sheetPr>
  <dimension ref="A1:H44"/>
  <sheetViews>
    <sheetView showGridLines="0" workbookViewId="0">
      <selection activeCell="A1" sqref="A1"/>
    </sheetView>
  </sheetViews>
  <sheetFormatPr baseColWidth="8" defaultRowHeight="15" outlineLevelCol="0"/>
  <cols>
    <col width="3" customWidth="1" min="1" max="1"/>
    <col width="6" customWidth="1" min="2" max="2"/>
    <col width="30" customWidth="1" min="3" max="3"/>
    <col width="40" customWidth="1" min="4" max="4"/>
    <col width="20" customWidth="1" min="5" max="5"/>
    <col width="18" customWidth="1" min="6" max="6"/>
    <col width="18" customWidth="1" min="7" max="7"/>
    <col width="50" customWidth="1" min="8" max="8"/>
  </cols>
  <sheetData>
    <row r="1" ht="6" customHeight="1"/>
    <row r="2" ht="22" customHeight="1">
      <c r="B2" s="33" t="inlineStr">
        <is>
          <t>INTUIT INC. — INVESTMENT THESIS TRACKER</t>
        </is>
      </c>
    </row>
    <row r="3">
      <c r="B3" s="34" t="inlineStr">
        <is>
          <t>Thesis Pillars | Risks | Catalysts | KPIs — Updated May 22, 2026</t>
        </is>
      </c>
    </row>
    <row r="4"/>
    <row r="5">
      <c r="B5" s="103" t="inlineStr">
        <is>
          <t>SECTION A — THESIS PILLARS</t>
        </is>
      </c>
    </row>
    <row r="6">
      <c r="B6" s="35" t="inlineStr">
        <is>
          <t>#</t>
        </is>
      </c>
      <c r="C6" s="35" t="inlineStr">
        <is>
          <t>Pillar Name</t>
        </is>
      </c>
      <c r="D6" s="35" t="inlineStr">
        <is>
          <t>Description</t>
        </is>
      </c>
      <c r="E6" s="35" t="inlineStr">
        <is>
          <t>Conviction</t>
        </is>
      </c>
      <c r="F6" s="35" t="inlineStr">
        <is>
          <t>Status</t>
        </is>
      </c>
      <c r="G6" s="35" t="inlineStr">
        <is>
          <t>Evidence / Datapoints</t>
        </is>
      </c>
      <c r="H6" s="35" t="n"/>
    </row>
    <row r="7" ht="72" customHeight="1">
      <c r="B7" s="104" t="inlineStr">
        <is>
          <t>P1</t>
        </is>
      </c>
      <c r="C7" s="105" t="inlineStr">
        <is>
          <t>AI Data Moat &amp; GenOS Platform</t>
        </is>
      </c>
      <c r="D7" s="106" t="inlineStr">
        <is>
          <t>Intuit's 100M+ customer dataset and 60B ML predictions/day create an insurmountable data advantage. GenOS (Generative AI Operating System) accelerates product development and enables 'done-for-you' autonomous agents across TurboTax, QuickBooks, Credit Karma, and Mailchimp.</t>
        </is>
      </c>
      <c r="E7" s="107" t="inlineStr">
        <is>
          <t>HIGH</t>
        </is>
      </c>
      <c r="F7" s="107" t="inlineStr">
        <is>
          <t>INTACT</t>
        </is>
      </c>
      <c r="G7" s="108" t="inlineStr">
        <is>
          <t>25% of invoice customers use AI reminders → 10%+ payment conversion lift; TurboTax AI cut filing time 12%; Experts cut prep time 20% via AI; 60B daily ML predictions; GenOS deployed across full portfolio</t>
        </is>
      </c>
    </row>
    <row r="8" ht="72" customHeight="1">
      <c r="B8" s="104" t="inlineStr">
        <is>
          <t>P2</t>
        </is>
      </c>
      <c r="C8" s="109" t="inlineStr">
        <is>
          <t>Recurring Revenue &amp; High Switching Costs</t>
        </is>
      </c>
      <c r="D8" s="110" t="inlineStr">
        <is>
          <t>QuickBooks Online serves as the operational backbone for ~8M small businesses globally. Deep integrations (payroll, payments, lending, inventory) create 5-7 year average customer retention and multi-product pricing leverage. Subscription model provides highly predictable cash flows.</t>
        </is>
      </c>
      <c r="E8" s="111" t="inlineStr">
        <is>
          <t>HIGH</t>
        </is>
      </c>
      <c r="F8" s="111" t="inlineStr">
        <is>
          <t>INTACT</t>
        </is>
      </c>
      <c r="G8" s="112" t="inlineStr">
        <is>
          <t>Online Ecosystem grew 20% in FY25; QuickBooks Online Accounting +25% in Q1 FY26; Customer retention metrics consistently above 80%; Enterprise Suite adds $15-30K+ ARR per mid-market customer</t>
        </is>
      </c>
    </row>
    <row r="9" ht="72" customHeight="1">
      <c r="B9" s="104" t="inlineStr">
        <is>
          <t>P3</t>
        </is>
      </c>
      <c r="C9" s="105" t="inlineStr">
        <is>
          <t>TurboTax 'Assisted' Mix Shift</t>
        </is>
      </c>
      <c r="D9" s="106" t="inlineStr">
        <is>
          <t>TurboTax Live (assisted by human experts + AI) now represents &gt;50% of TurboTax revenue (per Q3 FY26 commentary). Higher-ARPU customers upgrading from DIY to Assisted drives blended revenue per user up 20-30% while AI reduces expert unit cost. Structural margin expansion driver.</t>
        </is>
      </c>
      <c r="E9" s="107" t="inlineStr">
        <is>
          <t>HIGH</t>
        </is>
      </c>
      <c r="F9" s="107" t="inlineStr">
        <is>
          <t>INTACT</t>
        </is>
      </c>
      <c r="G9" s="108" t="inlineStr">
        <is>
          <t>TurboTax Live &gt;50% revenue share in FY26; AI cut expert time 20%; Consumer segment grew 9% in Q3 FY26; TurboTax Live grew 47% in FY25; blended ARPU expansion confirmed by management on Q3 FY26 call</t>
        </is>
      </c>
    </row>
    <row r="10" ht="72" customHeight="1">
      <c r="B10" s="104" t="inlineStr">
        <is>
          <t>P4</t>
        </is>
      </c>
      <c r="C10" s="109" t="inlineStr">
        <is>
          <t>Credit Karma Recovery Optionality</t>
        </is>
      </c>
      <c r="D10" s="110" t="inlineStr">
        <is>
          <t>Credit Karma contributed $1.75B revenue in FY25, well below its $7B acquisition price potential. As consumer credit conditions normalize and Intuit deepens CK integrations with TurboTax and QuickBooks, management guided CK to contribute 1pt of Consumer Group growth in FY26 with further upside in FY27+.</t>
        </is>
      </c>
      <c r="E10" s="113" t="inlineStr">
        <is>
          <t>MEDIUM</t>
        </is>
      </c>
      <c r="F10" s="113" t="inlineStr">
        <is>
          <t>WATCH</t>
        </is>
      </c>
      <c r="G10" s="112" t="inlineStr">
        <is>
          <t>CK grew 32% in FY25; management reiterated 1pt contribution guide for FY26; macro-sensitive — personal loans, auto, mortgage marketplace dependent on credit availability; Q1 FY26 CK +27%</t>
        </is>
      </c>
    </row>
    <row r="11" ht="72" customHeight="1">
      <c r="B11" s="104" t="inlineStr">
        <is>
          <t>P5</t>
        </is>
      </c>
      <c r="C11" s="105" t="inlineStr">
        <is>
          <t>Operating Leverage to 40%+ EBITDA Margins</t>
        </is>
      </c>
      <c r="D11" s="106" t="inlineStr">
        <is>
          <t>Adj. EBITDA margins expanded from 26.1% in FY22 to 30.4% in FY25 despite Credit Karma dilution. 17% workforce reduction (May 2026) targeting $500-700M in annualized savings. AI automation reduces headcount intensity. Consensus models 42%+ Adj. EBITDA margins by FY27E.</t>
        </is>
      </c>
      <c r="E11" s="107" t="inlineStr">
        <is>
          <t>HIGH</t>
        </is>
      </c>
      <c r="F11" s="107" t="inlineStr">
        <is>
          <t>INTACT</t>
        </is>
      </c>
      <c r="G11" s="108" t="inlineStr">
        <is>
          <t>FY25 Adj. EBITDA margin 30.4% (GAAP operating margin 26.2%); $500-700M annualized savings from restructuring; consensus FY26E Adj. EBITDA $9.1B (~42.4% margin); non-GAAP EPS +19% in FY25</t>
        </is>
      </c>
    </row>
    <row r="12"/>
    <row r="13"/>
    <row r="14" ht="20" customHeight="1">
      <c r="B14" s="114" t="inlineStr">
        <is>
          <t>SECTION B — KEY RISKS</t>
        </is>
      </c>
    </row>
    <row r="15">
      <c r="B15" s="115" t="inlineStr">
        <is>
          <t>#</t>
        </is>
      </c>
      <c r="C15" s="115" t="inlineStr">
        <is>
          <t>Risk Name</t>
        </is>
      </c>
      <c r="D15" s="115" t="inlineStr">
        <is>
          <t>Description</t>
        </is>
      </c>
      <c r="E15" s="115" t="inlineStr">
        <is>
          <t>Severity</t>
        </is>
      </c>
      <c r="F15" s="115" t="inlineStr">
        <is>
          <t>Probability</t>
        </is>
      </c>
      <c r="G15" s="115" t="inlineStr">
        <is>
          <t>Mitigant</t>
        </is>
      </c>
      <c r="H15" s="115" t="n"/>
    </row>
    <row r="16" ht="80" customHeight="1">
      <c r="B16" s="116" t="inlineStr">
        <is>
          <t>R1</t>
        </is>
      </c>
      <c r="C16" s="117" t="inlineStr">
        <is>
          <t>AI Tax Disruption (Highest Severity)</t>
        </is>
      </c>
      <c r="D16" s="118" t="inlineStr">
        <is>
          <t>Claude, ChatGPT and dedicated AI tax tools can generate accurate tax returns for many users at near-zero incremental cost. IRS Direct File program (free federal filing) expanded to 24 states in 2024; further expansion could erode TurboTax's 30%+ market share in DIY segment.</t>
        </is>
      </c>
      <c r="E16" s="119" t="inlineStr">
        <is>
          <t>HIGH</t>
        </is>
      </c>
      <c r="F16" s="119" t="inlineStr">
        <is>
          <t>MEDIUM</t>
        </is>
      </c>
      <c r="G16" s="120" t="inlineStr">
        <is>
          <t>Intuit's moat is SERVICE (live expert + AI combo), not software. TurboTax Live (&gt;50% revenue) is AI-irreplaceable for complex situations. Price point for full-service ($200+) vs. free = clear value distinction. Management guiding continued unit volume + ARPU growth in FY26.</t>
        </is>
      </c>
    </row>
    <row r="17" ht="80" customHeight="1">
      <c r="B17" s="116" t="inlineStr">
        <is>
          <t>R2</t>
        </is>
      </c>
      <c r="C17" s="109" t="inlineStr">
        <is>
          <t>Credit Karma Revenue Volatility</t>
        </is>
      </c>
      <c r="D17" s="110" t="inlineStr">
        <is>
          <t>CK is highly sensitive to consumer credit conditions (personal loans, auto, mortgage, cards). Rising delinquency rates, tighter bank underwriting, or Federal Reserve rate policy changes directly compress marketplace economics and partner payouts. CK contributed only ~$1.75B in FY25 vs. original $7B+ aspirations at acquisition.</t>
        </is>
      </c>
      <c r="E17" s="113" t="inlineStr">
        <is>
          <t>MEDIUM</t>
        </is>
      </c>
      <c r="F17" s="113" t="inlineStr">
        <is>
          <t>MEDIUM</t>
        </is>
      </c>
      <c r="G17" s="112" t="inlineStr">
        <is>
          <t>Intuit can cross-sell CK services to 30M+ TurboTax filers annually (owned distribution). CK's insurance and identity protection products are less cyclical. Management guidance for FY26 is conservative with 1pt contribution only.</t>
        </is>
      </c>
    </row>
    <row r="18" ht="80" customHeight="1">
      <c r="B18" s="116" t="inlineStr">
        <is>
          <t>R3</t>
        </is>
      </c>
      <c r="C18" s="117" t="inlineStr">
        <is>
          <t>Workforce Reduction Execution Risk</t>
        </is>
      </c>
      <c r="D18" s="118" t="inlineStr">
        <is>
          <t>17% headcount reduction (3,000+ employees) announced May 2026 creates integration/morale risk. During a critical AI transition period, losing key engineering/product talent could delay GenOS roadmap and give faster-moving competitors a window. Restructuring charges of $300-340M in Q4 FY26.</t>
        </is>
      </c>
      <c r="E18" s="119" t="inlineStr">
        <is>
          <t>MEDIUM</t>
        </is>
      </c>
      <c r="F18" s="119" t="inlineStr">
        <is>
          <t>LOW</t>
        </is>
      </c>
      <c r="G18" s="120" t="inlineStr">
        <is>
          <t>CEO Sasan Goodarzi framed cuts as 'shifting from managers to individual contributors' and reinvesting in AI R&amp;D. Intuit's 30%+ FCF margin provides buffer to re-hire if needed. Short-term cost savings ($500-700M annual run-rate) outweigh near-term drag.</t>
        </is>
      </c>
    </row>
    <row r="19" ht="80" customHeight="1">
      <c r="B19" s="116" t="inlineStr">
        <is>
          <t>R4</t>
        </is>
      </c>
      <c r="C19" s="109" t="inlineStr">
        <is>
          <t>QuickBooks Desktop-to-Online Migration Stalling</t>
        </is>
      </c>
      <c r="D19" s="110" t="inlineStr">
        <is>
          <t>QBO migration has been a multi-year tailwind. As the remaining Desktop base shrinks, the mix-shift tailwind diminishes and GBSG growth may decelerate toward mid-single digits unless Enterprise Suite and international markets pick up the slack.</t>
        </is>
      </c>
      <c r="E19" s="113" t="inlineStr">
        <is>
          <t>MEDIUM</t>
        </is>
      </c>
      <c r="F19" s="113" t="inlineStr">
        <is>
          <t>MEDIUM</t>
        </is>
      </c>
      <c r="G19" s="112" t="inlineStr">
        <is>
          <t>Enterprise Suite (mid-market) growing fast and adding $15-30K ARR accounts. International QBO growing 9% cc in Q1 FY26. Mailchimp cross-sell beginning to contribute. Management highlighting 10M+ Total Addressable SMB Market — penetration still low.</t>
        </is>
      </c>
    </row>
    <row r="20" ht="80" customHeight="1">
      <c r="B20" s="116" t="inlineStr">
        <is>
          <t>R5</t>
        </is>
      </c>
      <c r="C20" s="117" t="inlineStr">
        <is>
          <t>Valuation De-rating / Multiple Compression</t>
        </is>
      </c>
      <c r="D20" s="118" t="inlineStr">
        <is>
          <t>INTU trades at a discount to historical norms (historically 35-45x forward P/E; currently ~13x NTM at $307 on $24.55 FY26E EPS). However if consensus estimates are revised down on EPS misses (3 consecutive GAAP EPS misses in FY25-Q1 FY26), multiple could compress further toward 15-18x.</t>
        </is>
      </c>
      <c r="E20" s="119" t="inlineStr">
        <is>
          <t>LOW</t>
        </is>
      </c>
      <c r="F20" s="119" t="inlineStr">
        <is>
          <t>LOW</t>
        </is>
      </c>
      <c r="G20" s="120" t="inlineStr">
        <is>
          <t>Stock already reflects significant derating vs. 2021-2022 highs (~$700-$800). At $307 / 18x TTM P/E, valuation appears reasonable. FCF yield of ~7% (OCF/mkt cap) is historically attractive for a recurring software business.</t>
        </is>
      </c>
    </row>
    <row r="21" ht="80" customHeight="1">
      <c r="B21" s="116" t="inlineStr">
        <is>
          <t>R6</t>
        </is>
      </c>
      <c r="C21" s="109" t="inlineStr">
        <is>
          <t>Competitive Pressure from Horizontal Platforms</t>
        </is>
      </c>
      <c r="D21" s="110" t="inlineStr">
        <is>
          <t>Microsoft (365 Copilot + Dynamics), Salesforce, and vertical SaaS players are embedding financial management tools. Shopify (merchant cash advances), Stripe (tax + financial ops), and Gusto (SMB payroll/HR) all compete in GBSG sub-segments.</t>
        </is>
      </c>
      <c r="E21" s="113" t="inlineStr">
        <is>
          <t>MEDIUM</t>
        </is>
      </c>
      <c r="F21" s="113" t="inlineStr">
        <is>
          <t>MEDIUM</t>
        </is>
      </c>
      <c r="G21" s="112" t="inlineStr">
        <is>
          <t>Intuit's advantage is the integrated TAX-ACCOUNTING-PAYMENTS-PAYROLL suite with 30 years of data. Switching costs are high (multi-product customers). No single competitor replicates the full stack at Intuit's scale and data depth.</t>
        </is>
      </c>
    </row>
    <row r="22"/>
    <row r="23"/>
    <row r="24" ht="20" customHeight="1">
      <c r="B24" s="121" t="inlineStr">
        <is>
          <t>SECTION C — CATALYSTS (Ordered by Expected Timeframe)</t>
        </is>
      </c>
    </row>
    <row r="25">
      <c r="B25" s="122" t="inlineStr">
        <is>
          <t>#</t>
        </is>
      </c>
      <c r="C25" s="122" t="inlineStr">
        <is>
          <t>Catalyst</t>
        </is>
      </c>
      <c r="D25" s="122" t="inlineStr">
        <is>
          <t>Description</t>
        </is>
      </c>
      <c r="E25" s="122" t="inlineStr">
        <is>
          <t>Timeframe</t>
        </is>
      </c>
      <c r="F25" s="122" t="inlineStr">
        <is>
          <t>Upside</t>
        </is>
      </c>
      <c r="G25" s="122" t="inlineStr">
        <is>
          <t>Trigger Condition</t>
        </is>
      </c>
      <c r="H25" s="122" t="n"/>
    </row>
    <row r="26" ht="72" customHeight="1">
      <c r="B26" s="123" t="inlineStr">
        <is>
          <t>C1</t>
        </is>
      </c>
      <c r="C26" s="124" t="inlineStr">
        <is>
          <t>Q4 FY26 Earnings Beat (Aug 2026)</t>
        </is>
      </c>
      <c r="D26" s="125" t="inlineStr">
        <is>
          <t>Seasonally strongest quarter (April–July tax season). FY26 raised guide implies Q4 of ~$5.5B+ revenue. Management commentary on AI agent adoption rates, Enterprise Suite pipeline, and CK recovery trajectory will be the key debates. Any revenue/margin upside = positive re-rating catalyst.</t>
        </is>
      </c>
      <c r="E26" s="126" t="inlineStr">
        <is>
          <t>0–3 months</t>
        </is>
      </c>
      <c r="F26" s="126" t="inlineStr">
        <is>
          <t>HIGH</t>
        </is>
      </c>
      <c r="G26" s="127" t="inlineStr">
        <is>
          <t>Q4 FY26 revenue &gt; $5.5B and adj. EPS &gt; $4.50; management raises FY27 guide</t>
        </is>
      </c>
    </row>
    <row r="27" ht="72" customHeight="1">
      <c r="B27" s="123" t="inlineStr">
        <is>
          <t>C2</t>
        </is>
      </c>
      <c r="C27" s="109" t="inlineStr">
        <is>
          <t>TurboTax Live crossing 60% Revenue Mix</t>
        </is>
      </c>
      <c r="D27" s="110" t="inlineStr">
        <is>
          <t>Once TurboTax Live (human+AI assisted) surpasses 60% of Consumer revenue, it signals the full structural transition of the Consumer segment to a higher-ARPU, stickier service model. This mix-shift is the most powerful near-term re-rating catalyst for INTU's valuation multiple.</t>
        </is>
      </c>
      <c r="E27" s="128" t="inlineStr">
        <is>
          <t>6–12 months</t>
        </is>
      </c>
      <c r="F27" s="111" t="inlineStr">
        <is>
          <t>HIGH</t>
        </is>
      </c>
      <c r="G27" s="112" t="inlineStr">
        <is>
          <t>Consumer ARPU growth &gt;10% YoY for 2+ consecutive quarters</t>
        </is>
      </c>
    </row>
    <row r="28" ht="72" customHeight="1">
      <c r="B28" s="123" t="inlineStr">
        <is>
          <t>C3</t>
        </is>
      </c>
      <c r="C28" s="124" t="inlineStr">
        <is>
          <t>Enterprise Suite Revenue Inflection</t>
        </is>
      </c>
      <c r="D28" s="125" t="inlineStr">
        <is>
          <t>Intuit Enterprise Suite (mid-market $50M–$500M revenue businesses) is the company's most significant growth lever. Each $1B of incremental IES revenue adds ~$200M incremental op. income at +50%+ contribution margins. FY27 is expected to be the first year IES becomes a material revenue contributor (est. $500M+ run-rate).</t>
        </is>
      </c>
      <c r="E28" s="126" t="inlineStr">
        <is>
          <t>6–18 months</t>
        </is>
      </c>
      <c r="F28" s="126" t="inlineStr">
        <is>
          <t>HIGH</t>
        </is>
      </c>
      <c r="G28" s="127" t="inlineStr">
        <is>
          <t>IES ARR disclosed in earnings; $500M+ exit run-rate for FY27</t>
        </is>
      </c>
    </row>
    <row r="29" ht="72" customHeight="1">
      <c r="B29" s="123" t="inlineStr">
        <is>
          <t>C4</t>
        </is>
      </c>
      <c r="C29" s="109" t="inlineStr">
        <is>
          <t>Credit Karma Full Recovery</t>
        </is>
      </c>
      <c r="D29" s="110" t="inlineStr">
        <is>
          <t>If macro conditions improve (rate cuts, credit normalization), CK could revert toward $2.5–3.0B annual revenue vs. $1.75B in FY25. Each $500M of CK revenue upside adds ~$1.50–2.00/share to EPS given the high incremental margins in marketplace/fintech.</t>
        </is>
      </c>
      <c r="E29" s="128" t="inlineStr">
        <is>
          <t>12–24 months</t>
        </is>
      </c>
      <c r="F29" s="113" t="inlineStr">
        <is>
          <t>MEDIUM</t>
        </is>
      </c>
      <c r="G29" s="112" t="inlineStr">
        <is>
          <t>Fed rate path; consumer delinquency rates normalizing; bank lending standards easing</t>
        </is>
      </c>
    </row>
    <row r="30" ht="72" customHeight="1">
      <c r="B30" s="123" t="inlineStr">
        <is>
          <t>C5</t>
        </is>
      </c>
      <c r="C30" s="124" t="inlineStr">
        <is>
          <t>Restructuring Savings Flow-Through to Margins</t>
        </is>
      </c>
      <c r="D30" s="125" t="inlineStr">
        <is>
          <t>17% workforce reduction ($300–340M charges) saves an estimated $500–700M annually beginning FY27. If management re-deploys savings into AI infrastructure rather than margin (as guided), FCF still improves by ~$300–400M and gross profit margins expand on AI-driven automation.</t>
        </is>
      </c>
      <c r="E30" s="126" t="inlineStr">
        <is>
          <t>3–12 months</t>
        </is>
      </c>
      <c r="F30" s="126" t="inlineStr">
        <is>
          <t>MEDIUM</t>
        </is>
      </c>
      <c r="G30" s="127" t="inlineStr">
        <is>
          <t>First full-quarter proof in Q1 FY27 (Nov 2026); mgmt commentary on margin cadence</t>
        </is>
      </c>
    </row>
    <row r="31"/>
    <row r="32"/>
    <row r="33" ht="20" customHeight="1">
      <c r="B33" s="129" t="inlineStr">
        <is>
          <t>SECTION D — KPI MONITORING DASHBOARD</t>
        </is>
      </c>
    </row>
    <row r="34">
      <c r="B34" s="130" t="inlineStr">
        <is>
          <t>#</t>
        </is>
      </c>
      <c r="C34" s="130" t="inlineStr">
        <is>
          <t>KPI Name</t>
        </is>
      </c>
      <c r="D34" s="130" t="inlineStr">
        <is>
          <t>Why It Matters</t>
        </is>
      </c>
      <c r="E34" s="130" t="inlineStr">
        <is>
          <t>Bear Threshold</t>
        </is>
      </c>
      <c r="F34" s="130" t="inlineStr">
        <is>
          <t>Base Target</t>
        </is>
      </c>
      <c r="G34" s="130" t="inlineStr">
        <is>
          <t>Bull Target</t>
        </is>
      </c>
      <c r="H34" s="130" t="inlineStr">
        <is>
          <t>Current / Last Reported</t>
        </is>
      </c>
    </row>
    <row r="35" ht="64" customHeight="1">
      <c r="B35" s="131" t="inlineStr">
        <is>
          <t>K1</t>
        </is>
      </c>
      <c r="C35" s="132" t="inlineStr">
        <is>
          <t>QBO Online Ecosystem Revenue Growth</t>
        </is>
      </c>
      <c r="D35" s="133" t="inlineStr">
        <is>
          <t>Core SMB subscription engine. Accelerating beyond 20% = pricing power + customer adds; decelerating below 12% = competitive/saturation signal</t>
        </is>
      </c>
      <c r="E35" s="134" t="inlineStr">
        <is>
          <t>&lt;10%</t>
        </is>
      </c>
      <c r="F35" s="135" t="inlineStr">
        <is>
          <t>13–16%</t>
        </is>
      </c>
      <c r="G35" s="136" t="inlineStr">
        <is>
          <t>&gt;18%</t>
        </is>
      </c>
      <c r="H35" s="137" t="inlineStr">
        <is>
          <t>Q3 FY26: +21% YoY</t>
        </is>
      </c>
    </row>
    <row r="36" ht="64" customHeight="1">
      <c r="B36" s="131" t="inlineStr">
        <is>
          <t>K2</t>
        </is>
      </c>
      <c r="C36" s="109" t="inlineStr">
        <is>
          <t>Consumer Segment Revenue Growth</t>
        </is>
      </c>
      <c r="D36" s="110" t="inlineStr">
        <is>
          <t>TurboTax + Credit Karma combined. Mix-shift to TurboTax Live should drive 7-10% growth regardless of unit volume; Credit Karma adds cyclical optionality.</t>
        </is>
      </c>
      <c r="E36" s="134" t="inlineStr">
        <is>
          <t>&lt;3%</t>
        </is>
      </c>
      <c r="F36" s="135" t="inlineStr">
        <is>
          <t>6–9%</t>
        </is>
      </c>
      <c r="G36" s="136" t="inlineStr">
        <is>
          <t>&gt;12%</t>
        </is>
      </c>
      <c r="H36" s="137" t="inlineStr">
        <is>
          <t>Q3 FY26: +9% total Consumer</t>
        </is>
      </c>
    </row>
    <row r="37" ht="64" customHeight="1">
      <c r="B37" s="131" t="inlineStr">
        <is>
          <t>K3</t>
        </is>
      </c>
      <c r="C37" s="132" t="inlineStr">
        <is>
          <t>Adjusted EBITDA Margin</t>
        </is>
      </c>
      <c r="D37" s="133" t="inlineStr">
        <is>
          <t>Restructuring + AI automation should drive 200-300bps annual expansion. Key validation of 'leverage without sacrificing growth' thesis.</t>
        </is>
      </c>
      <c r="E37" s="134" t="inlineStr">
        <is>
          <t>&lt;38%</t>
        </is>
      </c>
      <c r="F37" s="135" t="inlineStr">
        <is>
          <t>42–44%</t>
        </is>
      </c>
      <c r="G37" s="136" t="inlineStr">
        <is>
          <t>&gt;45%</t>
        </is>
      </c>
      <c r="H37" s="137" t="inlineStr">
        <is>
          <t>FY25A: 30.4% (reported); FY26E consensus: 42.4%</t>
        </is>
      </c>
    </row>
    <row r="38" ht="64" customHeight="1">
      <c r="B38" s="131" t="inlineStr">
        <is>
          <t>K4</t>
        </is>
      </c>
      <c r="C38" s="109" t="inlineStr">
        <is>
          <t>Free Cash Flow Margin</t>
        </is>
      </c>
      <c r="D38" s="110" t="inlineStr">
        <is>
          <t>INTU consistently delivers 29-34% FCF margins. Expansion toward 35%+ validates capital-light nature of AI-enhanced business model.</t>
        </is>
      </c>
      <c r="E38" s="134" t="inlineStr">
        <is>
          <t>&lt;25%</t>
        </is>
      </c>
      <c r="F38" s="135" t="inlineStr">
        <is>
          <t>32–36%</t>
        </is>
      </c>
      <c r="G38" s="136" t="inlineStr">
        <is>
          <t>&gt;38%</t>
        </is>
      </c>
      <c r="H38" s="137" t="inlineStr">
        <is>
          <t>FY25A: 32.3% (GAAP OCF basis)</t>
        </is>
      </c>
    </row>
    <row r="39" ht="64" customHeight="1">
      <c r="B39" s="131" t="inlineStr">
        <is>
          <t>K5</t>
        </is>
      </c>
      <c r="C39" s="132" t="inlineStr">
        <is>
          <t>Non-GAAP EPS Growth (YoY)</t>
        </is>
      </c>
      <c r="D39" s="133" t="inlineStr">
        <is>
          <t>Primary earnings quality metric. 20%+ adj. EPS growth historically commands 35-40x forward P/E. Slowdown below 15% = multiple compression risk.</t>
        </is>
      </c>
      <c r="E39" s="134" t="inlineStr">
        <is>
          <t>&lt;12%</t>
        </is>
      </c>
      <c r="F39" s="135" t="inlineStr">
        <is>
          <t>16–22%</t>
        </is>
      </c>
      <c r="G39" s="136" t="inlineStr">
        <is>
          <t>&gt;25%</t>
        </is>
      </c>
      <c r="H39" s="137" t="inlineStr">
        <is>
          <t>FY25A: +19%; FY26E consensus: +21.8%</t>
        </is>
      </c>
    </row>
    <row r="40" ht="64" customHeight="1">
      <c r="B40" s="131" t="inlineStr">
        <is>
          <t>K6</t>
        </is>
      </c>
      <c r="C40" s="109" t="inlineStr">
        <is>
          <t>Credit Karma Annual Revenue Run-Rate</t>
        </is>
      </c>
      <c r="D40" s="110" t="inlineStr">
        <is>
          <t>Key re-rating catalyst if CK recovers toward $2.5-3.0B. Every $500M incremental = ~$1.50 adj. EPS uplift at high incremental margins.</t>
        </is>
      </c>
      <c r="E40" s="134" t="inlineStr">
        <is>
          <t>&lt;$1.5B</t>
        </is>
      </c>
      <c r="F40" s="135" t="inlineStr">
        <is>
          <t>$2.0–2.5B</t>
        </is>
      </c>
      <c r="G40" s="136" t="inlineStr">
        <is>
          <t>&gt;$2.8B</t>
        </is>
      </c>
      <c r="H40" s="137" t="inlineStr">
        <is>
          <t>FY25A: $1.75B; FY26E: ~$2.1B</t>
        </is>
      </c>
    </row>
    <row r="41" ht="64" customHeight="1">
      <c r="B41" s="131" t="inlineStr">
        <is>
          <t>K7</t>
        </is>
      </c>
      <c r="C41" s="132" t="inlineStr">
        <is>
          <t>Enterprise Suite (IES) ARR</t>
        </is>
      </c>
      <c r="D41" s="133" t="inlineStr">
        <is>
          <t>Mid-market Land-and-Expand is INTU's primary expansion market. IES bookings signals multi-year revenue predictability and GBSG margin sustainability.</t>
        </is>
      </c>
      <c r="E41" s="134" t="inlineStr">
        <is>
          <t>&lt;$200M</t>
        </is>
      </c>
      <c r="F41" s="135" t="inlineStr">
        <is>
          <t>$400–600M</t>
        </is>
      </c>
      <c r="G41" s="136" t="inlineStr">
        <is>
          <t>&gt;$800M</t>
        </is>
      </c>
      <c r="H41" s="137" t="inlineStr">
        <is>
          <t>Management narrative only; not publicly disclosed</t>
        </is>
      </c>
    </row>
    <row r="42" ht="64" customHeight="1">
      <c r="B42" s="131" t="inlineStr">
        <is>
          <t>K8</t>
        </is>
      </c>
      <c r="C42" s="109" t="inlineStr">
        <is>
          <t>R&amp;D + SG&amp;A as % of Revenue</t>
        </is>
      </c>
      <c r="D42" s="110" t="inlineStr">
        <is>
          <t>Operating leverage indicator. R&amp;D stabilizing at 15-16% and SG&amp;A declining toward 32-33% signals efficient AI investment. Rising ratios = margin risk.</t>
        </is>
      </c>
      <c r="E42" s="134" t="inlineStr">
        <is>
          <t>&gt;55%</t>
        </is>
      </c>
      <c r="F42" s="135" t="inlineStr">
        <is>
          <t>48–52%</t>
        </is>
      </c>
      <c r="G42" s="136" t="inlineStr">
        <is>
          <t>&lt;46%</t>
        </is>
      </c>
      <c r="H42" s="137" t="inlineStr">
        <is>
          <t>FY25A: R&amp;D 15.6% + SG&amp;A 35.2% = 50.8%</t>
        </is>
      </c>
    </row>
    <row r="43" ht="64" customHeight="1">
      <c r="B43" s="131" t="inlineStr">
        <is>
          <t>K9</t>
        </is>
      </c>
      <c r="C43" s="132" t="inlineStr">
        <is>
          <t>Net Revenue Retention (SMB)</t>
        </is>
      </c>
      <c r="D43" s="133" t="inlineStr">
        <is>
          <t>INTU does not formally disclose NRR, but can be inferred from GBSG revenue growth vs. customer count growth. NRR &gt;110% = pricing + attach rate growing.</t>
        </is>
      </c>
      <c r="E43" s="134" t="inlineStr">
        <is>
          <t>&lt;100%</t>
        </is>
      </c>
      <c r="F43" s="135" t="inlineStr">
        <is>
          <t>105–115%</t>
        </is>
      </c>
      <c r="G43" s="136" t="inlineStr">
        <is>
          <t>&gt;120%</t>
        </is>
      </c>
      <c r="H43" s="137" t="inlineStr">
        <is>
          <t>Inferred; QBO ARPU growing ~5-8% per annum</t>
        </is>
      </c>
    </row>
    <row r="44" ht="64" customHeight="1">
      <c r="B44" s="131" t="inlineStr">
        <is>
          <t>K10</t>
        </is>
      </c>
      <c r="C44" s="109" t="inlineStr">
        <is>
          <t>Post-Earnings Stock Reaction (Sentiment)</t>
        </is>
      </c>
      <c r="D44" s="110" t="inlineStr">
        <is>
          <t>Market has punished INTU on 3/4 recent reports despite revenue beats — due to GAAP EPS misses driven by amortization. Watch adj. EPS vs. GAAP EPS spread narrowing as a normalization signal.</t>
        </is>
      </c>
      <c r="E44" s="134" t="inlineStr">
        <is>
          <t>Continued -5%+ reactions</t>
        </is>
      </c>
      <c r="F44" s="135" t="inlineStr">
        <is>
          <t>Flat to +5%</t>
        </is>
      </c>
      <c r="G44" s="136" t="inlineStr">
        <is>
          <t>+10%+</t>
        </is>
      </c>
      <c r="H44" s="137" t="inlineStr">
        <is>
          <t>Q3 FY26: -20% post-earnings reaction</t>
        </is>
      </c>
    </row>
  </sheetData>
  <mergeCells count="6">
    <mergeCell ref="B14:H14"/>
    <mergeCell ref="B24:H24"/>
    <mergeCell ref="B2:H2"/>
    <mergeCell ref="B33:H33"/>
    <mergeCell ref="B3:H3"/>
    <mergeCell ref="B5:H5"/>
  </mergeCells>
  <pageMargins left="0.75" right="0.75" top="1" bottom="1" header="0.5" footer="0.5"/>
</worksheet>
</file>

<file path=xl/worksheets/sheet10.xml><?xml version="1.0" encoding="utf-8"?>
<worksheet xmlns="http://schemas.openxmlformats.org/spreadsheetml/2006/main">
  <sheetPr>
    <tabColor rgb="00003366"/>
    <outlinePr summaryBelow="1" summaryRight="1"/>
    <pageSetUpPr/>
  </sheetPr>
  <dimension ref="A1:G52"/>
  <sheetViews>
    <sheetView showGridLines="0" workbookViewId="0">
      <selection activeCell="A1" sqref="A1"/>
    </sheetView>
  </sheetViews>
  <sheetFormatPr baseColWidth="8" defaultRowHeight="15" outlineLevelCol="0"/>
  <cols>
    <col width="3" customWidth="1" min="1" max="1"/>
    <col width="6" customWidth="1" min="2" max="2"/>
    <col width="35" customWidth="1" min="3" max="3"/>
    <col width="22" customWidth="1" min="4" max="4"/>
    <col width="18" customWidth="1" min="5" max="5"/>
    <col width="50" customWidth="1" min="6" max="6"/>
    <col width="28" customWidth="1" min="7" max="7"/>
  </cols>
  <sheetData>
    <row r="1" ht="6" customHeight="1"/>
    <row r="2" ht="22" customHeight="1">
      <c r="B2" s="33" t="inlineStr">
        <is>
          <t>INTUIT INC. — DCF MODEL ASSUMPTIONS (Full Disclosure)</t>
        </is>
      </c>
    </row>
    <row r="3">
      <c r="B3" s="34" t="inlineStr">
        <is>
          <t>All assumptions documented with base case, sensitivity range, and source rationale</t>
        </is>
      </c>
    </row>
    <row r="4"/>
    <row r="5" ht="20" customHeight="1">
      <c r="B5" s="83" t="inlineStr">
        <is>
          <t>I. DISCOUNT RATE (WACC) ASSUMPTIONS</t>
        </is>
      </c>
    </row>
    <row r="6">
      <c r="B6" s="35" t="inlineStr">
        <is>
          <t>#</t>
        </is>
      </c>
      <c r="C6" s="35" t="inlineStr">
        <is>
          <t>Assumption</t>
        </is>
      </c>
      <c r="D6" s="35" t="inlineStr">
        <is>
          <t>Base Case Value</t>
        </is>
      </c>
      <c r="E6" s="35" t="inlineStr">
        <is>
          <t>Sensitivity Range</t>
        </is>
      </c>
      <c r="F6" s="35" t="inlineStr">
        <is>
          <t>Rationale / Source</t>
        </is>
      </c>
      <c r="G6" s="35" t="inlineStr">
        <is>
          <t>Bull / Bear Delta</t>
        </is>
      </c>
    </row>
    <row r="7" ht="50" customHeight="1">
      <c r="B7" s="138" t="inlineStr">
        <is>
          <t>W1</t>
        </is>
      </c>
      <c r="C7" s="105" t="inlineStr">
        <is>
          <t>Risk-Free Rate</t>
        </is>
      </c>
      <c r="D7" s="139" t="inlineStr">
        <is>
          <t>4.42%</t>
        </is>
      </c>
      <c r="E7" s="140" t="inlineStr">
        <is>
          <t>3.8% – 5.2%</t>
        </is>
      </c>
      <c r="F7" s="106" t="inlineStr">
        <is>
          <t>10-Year US Treasury yield as of May 2026 (AlphaSpread). Fed funds rate policy and long-term inflation expectations are key drivers. Bull case assumes rate normalization toward 3.8–4.0% by FY27; bear case includes sticky 5%+ environment.</t>
        </is>
      </c>
      <c r="G7" s="141" t="inlineStr">
        <is>
          <t>Bull: +$45–60/share (lower Rf → lower WACC)
Bear: –$30–40/share (higher Rf)</t>
        </is>
      </c>
    </row>
    <row r="8" ht="50" customHeight="1">
      <c r="B8" s="142" t="inlineStr">
        <is>
          <t>W2</t>
        </is>
      </c>
      <c r="C8" s="109" t="inlineStr">
        <is>
          <t>Equity Risk Premium (ERP)</t>
        </is>
      </c>
      <c r="D8" s="143" t="inlineStr">
        <is>
          <t>4.18%</t>
        </is>
      </c>
      <c r="E8" s="144" t="inlineStr">
        <is>
          <t>3.5% – 5.5%</t>
        </is>
      </c>
      <c r="F8" s="110" t="inlineStr">
        <is>
          <t>Damodaran US ERP estimate (current implied ERP from S&amp;P 500 earnings yield minus Rf). Historical arithmetic average ERP for US = 4.5-5.0%; current low-VIX environment supports lower realized ERP. Used 4.18% per AlphaSpread current estimate.</t>
        </is>
      </c>
      <c r="G8" s="145" t="inlineStr">
        <is>
          <t>Bull: 3.5% ERP → WACC ~7.6% → +$80/share
Bear: 5.5% ERP → WACC ~9.5% → –$110/share</t>
        </is>
      </c>
    </row>
    <row r="9" ht="50" customHeight="1">
      <c r="B9" s="138" t="inlineStr">
        <is>
          <t>W3</t>
        </is>
      </c>
      <c r="C9" s="105" t="inlineStr">
        <is>
          <t>Raw Beta (2-Year Regression)</t>
        </is>
      </c>
      <c r="D9" s="139" t="inlineStr">
        <is>
          <t>0.96</t>
        </is>
      </c>
      <c r="E9" s="140" t="inlineStr">
        <is>
          <t>0.75 – 1.15</t>
        </is>
      </c>
      <c r="F9" s="106" t="inlineStr">
        <is>
          <t>AlphaSpread 2-year weekly regression beta vs. S&amp;P 500. Historical range: 0.75–1.20. INTU's business is ~80% subscription/recurring with seasonal tax patterns; this implies beta should structurally be below 1.0 in steady state. Adjusted (Blume) beta = 0.67×Raw + 0.33×1.0 = 0.97.</t>
        </is>
      </c>
      <c r="G9" s="141" t="inlineStr">
        <is>
          <t>Using 0.75 beta → WACC ~7.7% → +$60–80/share
Using 1.15 beta → WACC ~8.8% → –$70/share</t>
        </is>
      </c>
    </row>
    <row r="10" ht="50" customHeight="1">
      <c r="B10" s="142" t="inlineStr">
        <is>
          <t>W4</t>
        </is>
      </c>
      <c r="C10" s="109" t="inlineStr">
        <is>
          <t>Cost of Equity (CAPM)</t>
        </is>
      </c>
      <c r="D10" s="143" t="inlineStr">
        <is>
          <t>8.43%</t>
        </is>
      </c>
      <c r="E10" s="144" t="inlineStr">
        <is>
          <t>7.1% – 9.6%</t>
        </is>
      </c>
      <c r="F10" s="110" t="inlineStr">
        <is>
          <t>Ke = Rf + β×ERP = 4.42% + 0.97×4.18% = 8.43%. Range reflects sensitivity to Rf, beta, and ERP assumptions above. Reference: ValueInvesting.io estimates 7.10–9.60% range; our base aligns with midpoint.</t>
        </is>
      </c>
      <c r="G10" s="145" t="inlineStr">
        <is>
          <t>Higher Ke = lower implied price. Every 50bps Ke change ≈ ±$35–50/share.</t>
        </is>
      </c>
    </row>
    <row r="11" ht="50" customHeight="1">
      <c r="B11" s="138" t="inlineStr">
        <is>
          <t>W5</t>
        </is>
      </c>
      <c r="C11" s="105" t="inlineStr">
        <is>
          <t>Cost of Debt (Pre-tax)</t>
        </is>
      </c>
      <c r="D11" s="139" t="inlineStr">
        <is>
          <t>5.12%</t>
        </is>
      </c>
      <c r="E11" s="140" t="inlineStr">
        <is>
          <t>4.5% – 6.0%</t>
        </is>
      </c>
      <c r="F11" s="106" t="inlineStr">
        <is>
          <t>Computed from FY25A interest expense (~$247M) / average total debt (~$6.1B) = ~4.05%. Market rate for INTU's Baa1/BBB+ rated debt is ~5.0–5.5% given current credit spreads. Used 5.12% per AlphaSpread. Debt is 4.8% of total capital so impact is minimal.</t>
        </is>
      </c>
      <c r="G11" s="141" t="inlineStr">
        <is>
          <t>Minimal sensitivity — debt weight only 4.8% of EV; ±50bps = &lt;$3/share</t>
        </is>
      </c>
    </row>
    <row r="12" ht="50" customHeight="1">
      <c r="B12" s="142" t="inlineStr">
        <is>
          <t>W6</t>
        </is>
      </c>
      <c r="C12" s="109" t="inlineStr">
        <is>
          <t>WACC (Blended)</t>
        </is>
      </c>
      <c r="D12" s="143" t="inlineStr">
        <is>
          <t>8.27%</t>
        </is>
      </c>
      <c r="E12" s="144" t="inlineStr">
        <is>
          <t>6.9% – 9.3%</t>
        </is>
      </c>
      <c r="F12" s="110" t="inlineStr">
        <is>
          <t>WACC = Ke×E/V + Kd×(1–T)×D/V = 8.43%×95.2% + 5.12%×80%×4.8% = 8.27%. Selected range: ValueInvesting.io 6.9–9.3%; AlphaSpread 8.27%; our base 8.27%. VALIDATION: WACC is within 5–20% acceptable range. ✓</t>
        </is>
      </c>
      <c r="G12" s="145" t="inlineStr">
        <is>
          <t>Bull: 7.5% WACC → $800+ implied
Base: 8.27% WACC → $677 DCF implied
Bear: 9.5% WACC → $490 implied</t>
        </is>
      </c>
    </row>
    <row r="13"/>
    <row r="14"/>
    <row r="15" ht="20" customHeight="1">
      <c r="B15" s="59" t="inlineStr">
        <is>
          <t>II. REVENUE PROJECTION ASSUMPTIONS</t>
        </is>
      </c>
    </row>
    <row r="16">
      <c r="B16" s="35" t="inlineStr">
        <is>
          <t>#</t>
        </is>
      </c>
      <c r="C16" s="35" t="inlineStr">
        <is>
          <t>Assumption</t>
        </is>
      </c>
      <c r="D16" s="35" t="inlineStr">
        <is>
          <t>Base Case Value</t>
        </is>
      </c>
      <c r="E16" s="35" t="inlineStr">
        <is>
          <t>Sensitivity Range</t>
        </is>
      </c>
      <c r="F16" s="35" t="inlineStr">
        <is>
          <t>Rationale / Source</t>
        </is>
      </c>
      <c r="G16" s="35" t="inlineStr">
        <is>
          <t>Bull / Bear Delta</t>
        </is>
      </c>
    </row>
    <row r="17" ht="50" customHeight="1">
      <c r="B17" s="138" t="inlineStr">
        <is>
          <t>R1</t>
        </is>
      </c>
      <c r="C17" s="105" t="inlineStr">
        <is>
          <t>Total Revenue CAGR (FY25–FY30)</t>
        </is>
      </c>
      <c r="D17" s="139" t="inlineStr">
        <is>
          <t>12.1% (Base)</t>
        </is>
      </c>
      <c r="E17" s="140" t="inlineStr">
        <is>
          <t>Bull: 15.2%
Bear: 7.8%</t>
        </is>
      </c>
      <c r="F17" s="106" t="inlineStr">
        <is>
          <t>Base aligned with management FY26 guide ($21.34-21.37B, +13.4% YoY) and consensus FY27-28E (11.8% and 11.9% respectively per StockAnalysis). 5-year CAGR decelerates naturally from 16% FY25 as base grows. Bull: AI-driven acceleration + CK recovery. Bear: tax disruption + SMB slowdown.</t>
        </is>
      </c>
      <c r="G17" s="141" t="inlineStr">
        <is>
          <t>Each 100bps CAGR delta over 5 years ≈ $2.0B incremental FY30 revenue ≈ $45–55/share PT delta</t>
        </is>
      </c>
    </row>
    <row r="18" ht="50" customHeight="1">
      <c r="B18" s="142" t="inlineStr">
        <is>
          <t>R2</t>
        </is>
      </c>
      <c r="C18" s="109" t="inlineStr">
        <is>
          <t>GBSG (SMB / QuickBooks) Revenue Growth</t>
        </is>
      </c>
      <c r="D18" s="143" t="inlineStr">
        <is>
          <t>11.9% CAGR</t>
        </is>
      </c>
      <c r="E18" s="144" t="inlineStr">
        <is>
          <t>Bull: 15.5%
Bear: 7.5%</t>
        </is>
      </c>
      <c r="F18" s="110" t="inlineStr">
        <is>
          <t>FY25: GBSG grew 16% to $11.1B. FY26E: ~15% guided. Enterprise Suite is new growth driver (mid-market vertical). Online Ecosystem growing 20%+ driven by pricing, customer growth, and attach rate. International QBO growing 9% cc. Mailchimp monetization still early. Terminal deceleration toward 10% as addressable market matures.</t>
        </is>
      </c>
      <c r="G18" s="145" t="inlineStr">
        <is>
          <t>Key swing: IES bookings velocity. $500M incremental IES ARR = ~$100M incremental op. income</t>
        </is>
      </c>
    </row>
    <row r="19" ht="50" customHeight="1">
      <c r="B19" s="138" t="inlineStr">
        <is>
          <t>R3</t>
        </is>
      </c>
      <c r="C19" s="105" t="inlineStr">
        <is>
          <t>Consumer (TurboTax) Revenue Growth</t>
        </is>
      </c>
      <c r="D19" s="139" t="inlineStr">
        <is>
          <t>6.1% CAGR</t>
        </is>
      </c>
      <c r="E19" s="140" t="inlineStr">
        <is>
          <t>Bull: 9.0%
Bear: 3.0%</t>
        </is>
      </c>
      <c r="F19" s="106" t="inlineStr">
        <is>
          <t>FY25: Consumer grew 4% to $4.9B. Mix-shift to TurboTax Live (&gt;50% revenue) drives ARPU up vs. unit volume. Total filers market grows ~2–3%/yr. IRS Direct File risk limits upside. Bull: ARPU expansion accelerates to +8–10%/yr. Bear: Free AI tools erode DIY; unit volume -5%.</t>
        </is>
      </c>
      <c r="G19" s="141" t="inlineStr">
        <is>
          <t>IRS Direct File expansion is key bear risk. Every 5% unit share loss ≈ –$150M revenue, –$0.50 EPS</t>
        </is>
      </c>
    </row>
    <row r="20" ht="50" customHeight="1">
      <c r="B20" s="142" t="inlineStr">
        <is>
          <t>R4</t>
        </is>
      </c>
      <c r="C20" s="109" t="inlineStr">
        <is>
          <t>Credit Karma Revenue Growth</t>
        </is>
      </c>
      <c r="D20" s="143" t="inlineStr">
        <is>
          <t>15.3% CAGR</t>
        </is>
      </c>
      <c r="E20" s="144" t="inlineStr">
        <is>
          <t>Bull: 22.0%
Bear: 8.0%</t>
        </is>
      </c>
      <c r="F20" s="110" t="inlineStr">
        <is>
          <t>FY25: CK $1.75B, +32% recovery. Management guided 1pt contribution to FY26 Consumer Group. Recovery path depends on consumer credit market normalization. Bull: Macro improves + cross-sell 30M TurboTax filers = CK monetization accelerates toward $3.0B by FY29. Bear: Sustained high rates + credit tightening = CK stays below $2.0B through FY28.</t>
        </is>
      </c>
      <c r="G20" s="145" t="inlineStr">
        <is>
          <t>CK reaching $2.5B adds ~$200M adj. EBITDA at ~40% margin → +$0.70/share EPS, +$25 PT</t>
        </is>
      </c>
    </row>
    <row r="21" ht="50" customHeight="1">
      <c r="B21" s="138" t="inlineStr">
        <is>
          <t>R5</t>
        </is>
      </c>
      <c r="C21" s="105" t="inlineStr">
        <is>
          <t>International Revenue Growth</t>
        </is>
      </c>
      <c r="D21" s="139" t="inlineStr">
        <is>
          <t>~9% CAGR</t>
        </is>
      </c>
      <c r="E21" s="140" t="inlineStr">
        <is>
          <t>8% – 15%</t>
        </is>
      </c>
      <c r="F21" s="106" t="inlineStr">
        <is>
          <t>International is ~8% of total revenue (per FY25 10-K). QBO international growing 9% cc. Modest expansion of geographic footprint. Conservative assumption — not a primary driver. Risk: UK/Canada competition (Xero, Sage) limits QBO international share gains.</t>
        </is>
      </c>
      <c r="G21" s="141" t="inlineStr">
        <is>
          <t>Low sensitivity — International &lt;10% of revenue even in FY30 under base case</t>
        </is>
      </c>
    </row>
    <row r="22"/>
    <row r="23"/>
    <row r="24" ht="20" customHeight="1">
      <c r="B24" s="146" t="inlineStr">
        <is>
          <t>III. MARGIN &amp; PROFITABILITY ASSUMPTIONS</t>
        </is>
      </c>
    </row>
    <row r="25">
      <c r="B25" s="35" t="inlineStr">
        <is>
          <t>#</t>
        </is>
      </c>
      <c r="C25" s="35" t="inlineStr">
        <is>
          <t>Assumption</t>
        </is>
      </c>
      <c r="D25" s="35" t="inlineStr">
        <is>
          <t>Base Case Value</t>
        </is>
      </c>
      <c r="E25" s="35" t="inlineStr">
        <is>
          <t>Sensitivity Range</t>
        </is>
      </c>
      <c r="F25" s="35" t="inlineStr">
        <is>
          <t>Rationale / Source</t>
        </is>
      </c>
      <c r="G25" s="35" t="inlineStr">
        <is>
          <t>Bull / Bear Delta</t>
        </is>
      </c>
    </row>
    <row r="26" ht="50" customHeight="1">
      <c r="B26" s="138" t="inlineStr">
        <is>
          <t>M1</t>
        </is>
      </c>
      <c r="C26" s="105" t="inlineStr">
        <is>
          <t>Gross Margin Trajectory</t>
        </is>
      </c>
      <c r="D26" s="139" t="inlineStr">
        <is>
          <t>80.4%→82.0%+ by FY30</t>
        </is>
      </c>
      <c r="E26" s="140" t="inlineStr">
        <is>
          <t>Bull: 83.5%
Bear: 78.5%</t>
        </is>
      </c>
      <c r="F26" s="106" t="inlineStr">
        <is>
          <t>FY25A gross margin: 80.4%. Historical range: 79–83%. AI automation reduces cost of service (TurboTax expert labor, QuickBooks support). AI-generated content reduces marketing production costs. Cloud infrastructure scale benefits kick in beyond $20B revenue. Credit Karma at lower margin remains a structural drag if fast-growing. Base case assumes 40–60bps annual expansion toward 82%.</t>
        </is>
      </c>
      <c r="G26" s="141" t="inlineStr">
        <is>
          <t>100bps gross margin expansion on $30B FY30 revenue = $300M incremental EBITDA ≈ $0.70/share</t>
        </is>
      </c>
    </row>
    <row r="27" ht="50" customHeight="1">
      <c r="B27" s="142" t="inlineStr">
        <is>
          <t>M2</t>
        </is>
      </c>
      <c r="C27" s="109" t="inlineStr">
        <is>
          <t>Non-GAAP / Adjusted EBITDA Margin</t>
        </is>
      </c>
      <c r="D27" s="143" t="inlineStr">
        <is>
          <t>42.4% FY26E → 43.7% FY30E</t>
        </is>
      </c>
      <c r="E27" s="144" t="inlineStr">
        <is>
          <t>Bull: 46–48%
Bear: 38–40%</t>
        </is>
      </c>
      <c r="F27" s="110" t="inlineStr">
        <is>
          <t>Key assumption. Consensus models ~42%+ Adj. EBITDA for FY26 per StockAnalysis/estimates. GAAP EBITDA margin is 29.7% (adding back stock comp ~10% of rev). The 42% non-GAAP EBITDA assumes stock comp + restructuring charges are excluded. Bull: workforce reduction + AI saves $700M+ → margin expansion to 46–48%. Bear: need to reinvest in product/sales to defend against AI competition → 38–40%.</t>
        </is>
      </c>
      <c r="G27" s="145" t="inlineStr">
        <is>
          <t>100bps EBITDA margin at FY30E $32.8B revenue = $328M EBITDA → $580M incremental TV → $12/share</t>
        </is>
      </c>
    </row>
    <row r="28" ht="50" customHeight="1">
      <c r="B28" s="138" t="inlineStr">
        <is>
          <t>M3</t>
        </is>
      </c>
      <c r="C28" s="105" t="inlineStr">
        <is>
          <t>R&amp;D as % of Revenue</t>
        </is>
      </c>
      <c r="D28" s="139" t="inlineStr">
        <is>
          <t>15.5% stable</t>
        </is>
      </c>
      <c r="E28" s="140" t="inlineStr">
        <is>
          <t>14.5% – 17.0%</t>
        </is>
      </c>
      <c r="F28" s="106" t="inlineStr">
        <is>
          <t>FY25A: 15.6%. Historically 17–18% in growth investment years. Efficiency from AI-assisted code development should allow R&amp;D intensity to decline modestly while maintaining innovation velocity. However, GenOS investment and AI agent development may keep R&amp;D above 15% through FY27–28. Base: 15.5% through projection period.</t>
        </is>
      </c>
      <c r="G28" s="141" t="inlineStr">
        <is>
          <t>100bps R&amp;D efficiency savings at FY30 revenue = $328M op. leverage ≈ $0.75/share</t>
        </is>
      </c>
    </row>
    <row r="29" ht="50" customHeight="1">
      <c r="B29" s="142" t="inlineStr">
        <is>
          <t>M4</t>
        </is>
      </c>
      <c r="C29" s="109" t="inlineStr">
        <is>
          <t>SG&amp;A as % of Revenue</t>
        </is>
      </c>
      <c r="D29" s="143" t="inlineStr">
        <is>
          <t>35.0%→32.0% by FY30</t>
        </is>
      </c>
      <c r="E29" s="144" t="inlineStr">
        <is>
          <t>Bull: 29–30%
Bear: 35–37%</t>
        </is>
      </c>
      <c r="F29" s="110" t="inlineStr">
        <is>
          <t>FY25A: 35.2%. This is the primary operating leverage driver. As revenue scales over $25B+, fixed sales infrastructure, marketing efficiency gains, and AI-driven customer acquisition should reduce SG&amp;A ratio to 32–33% by FY30. 17% headcount reduction disproportionately affects SG&amp;A (sales support, marketing ops). Bull: SG&amp;A drops toward 29–30% as AI replaces marketing channels. Bear: competitive pressure forces sustained high marketing spend.</t>
        </is>
      </c>
      <c r="G29" s="145" t="inlineStr">
        <is>
          <t>100bps SG&amp;A leverage at $32.8B FY30 = $328M → $12–15/share in blended PT impact</t>
        </is>
      </c>
    </row>
    <row r="30" ht="50" customHeight="1">
      <c r="B30" s="138" t="inlineStr">
        <is>
          <t>M5</t>
        </is>
      </c>
      <c r="C30" s="105" t="inlineStr">
        <is>
          <t>Effective Tax Rate</t>
        </is>
      </c>
      <c r="D30" s="139" t="inlineStr">
        <is>
          <t>20.0% stable</t>
        </is>
      </c>
      <c r="E30" s="140" t="inlineStr">
        <is>
          <t>18.0% – 22.0%</t>
        </is>
      </c>
      <c r="F30" s="106" t="inlineStr">
        <is>
          <t>FY25A: 19.96%. FY24: 16.54% (benefited from stock option deductions). Historical range: 18–22%. Base assumes 20% tax rate through FY26–30. R&amp;D credits provide structural downside protection. Risk: US corporate tax reform (current administration) could push rate toward 25–28%. Sensitivity: every 100bps tax rate increase = ~$0.25–0.30/share EPS impact.</t>
        </is>
      </c>
      <c r="G30" s="141" t="inlineStr">
        <is>
          <t>Bear tax scenario (25% rate): –$1.25–1.50/share EPS, –$15–20 PT impact</t>
        </is>
      </c>
    </row>
    <row r="31"/>
    <row r="32"/>
    <row r="33" ht="20" customHeight="1">
      <c r="B33" s="147" t="inlineStr">
        <is>
          <t>IV. CAPITAL STRUCTURE, FCF &amp; TERMINAL VALUE ASSUMPTIONS</t>
        </is>
      </c>
    </row>
    <row r="34">
      <c r="B34" s="35" t="inlineStr">
        <is>
          <t>#</t>
        </is>
      </c>
      <c r="C34" s="35" t="inlineStr">
        <is>
          <t>Assumption</t>
        </is>
      </c>
      <c r="D34" s="35" t="inlineStr">
        <is>
          <t>Base Case Value</t>
        </is>
      </c>
      <c r="E34" s="35" t="inlineStr">
        <is>
          <t>Sensitivity Range</t>
        </is>
      </c>
      <c r="F34" s="35" t="inlineStr">
        <is>
          <t>Rationale / Source</t>
        </is>
      </c>
      <c r="G34" s="35" t="inlineStr">
        <is>
          <t>Bull / Bear Delta</t>
        </is>
      </c>
    </row>
    <row r="35" ht="50" customHeight="1">
      <c r="B35" s="138" t="inlineStr">
        <is>
          <t>C1</t>
        </is>
      </c>
      <c r="C35" s="105" t="inlineStr">
        <is>
          <t>Capital Expenditures (CapEx)</t>
        </is>
      </c>
      <c r="D35" s="139" t="inlineStr">
        <is>
          <t>0.8–0.9% of Revenue</t>
        </is>
      </c>
      <c r="E35" s="140" t="inlineStr">
        <is>
          <t>0.6% – 1.5%</t>
        </is>
      </c>
      <c r="F35" s="106" t="inlineStr">
        <is>
          <t>FY25A: $124M (0.7% of rev). Historical range: 0.6–1.5%. Intuit is primarily software/services — low CapEx intensity. Incremental AI infrastructure (GPU compute, data centers) adds modest CapEx pressure. Base assumes CapEx grows from $170M in FY26 to $310M in FY30 (~0.9% of revenue). Cloud-native architecture keeps physical CapEx low.</t>
        </is>
      </c>
      <c r="G35" s="141" t="inlineStr">
        <is>
          <t>Even at 2% CapEx/Revenue (aggressive), incremental CapEx vs. base only –$5–7/share PT</t>
        </is>
      </c>
    </row>
    <row r="36" ht="50" customHeight="1">
      <c r="B36" s="142" t="inlineStr">
        <is>
          <t>C2</t>
        </is>
      </c>
      <c r="C36" s="109" t="inlineStr">
        <is>
          <t>Working Capital Changes</t>
        </is>
      </c>
      <c r="D36" s="143" t="inlineStr">
        <is>
          <t>–$250M to –$380M annually</t>
        </is>
      </c>
      <c r="E36" s="144" t="inlineStr">
        <is>
          <t>–$200M to –$500M</t>
        </is>
      </c>
      <c r="F36" s="110" t="inlineStr">
        <is>
          <t>FY25A: –$206M working capital drag (negative WC build). As revenue grows, modest WC consumption expected. Deferred revenue (strong in seasonal Q3) is a significant WC source. Seasonal pattern: large Q3 (Jan–Apr) working capital inflow, modest remainder. Base assumes $250–380M annual WC consumption in projection period.</t>
        </is>
      </c>
      <c r="G36" s="145" t="inlineStr">
        <is>
          <t>Working capital sensitivity is low relative to OCF; ±$100M WC change ≈ ±$0.35/share</t>
        </is>
      </c>
    </row>
    <row r="37" ht="50" customHeight="1">
      <c r="B37" s="138" t="inlineStr">
        <is>
          <t>C3</t>
        </is>
      </c>
      <c r="C37" s="105" t="inlineStr">
        <is>
          <t>Share Buyback Program</t>
        </is>
      </c>
      <c r="D37" s="139" t="inlineStr">
        <is>
          <t>$3.5–4.2B annually</t>
        </is>
      </c>
      <c r="E37" s="140" t="inlineStr">
        <is>
          <t>$2.5B – $5.0B</t>
        </is>
      </c>
      <c r="F37" s="106" t="inlineStr">
        <is>
          <t>FY25A: $3.75B buybacks. FY24A: $2.99B. Board has consistently authorized buyback programs. At $307/share and ~283M diluted shares, $3.5B buybacks retire ~11.4M shares/year (~4%). This provides ~4% annual EPS accretion from buybacks alone. Base assumes gradual increase to $4.2B by FY30 as FCF grows.</t>
        </is>
      </c>
      <c r="G37" s="141" t="inlineStr">
        <is>
          <t>Buyback program at $307 vs. $600+ fair value = highly accretive. Each $1B buyback at $307 retires 3.3M shares → +$0.20 adj. EPS uplift</t>
        </is>
      </c>
    </row>
    <row r="38" ht="50" customHeight="1">
      <c r="B38" s="142" t="inlineStr">
        <is>
          <t>C4</t>
        </is>
      </c>
      <c r="C38" s="109" t="inlineStr">
        <is>
          <t>Dividend Policy</t>
        </is>
      </c>
      <c r="D38" s="143" t="inlineStr">
        <is>
          <t>15% annual growth</t>
        </is>
      </c>
      <c r="E38" s="144" t="inlineStr">
        <is>
          <t>10% – 20%</t>
        </is>
      </c>
      <c r="F38" s="110" t="inlineStr">
        <is>
          <t>FY25A: $4.16/share annual dividend (15.6% YoY growth). Dividend payout is modest at ~30% of adj. EPS. Management has grown dividend consistently at 15%+ for 5+ years. Base assumes 15% annual growth through FY30 → ~$8.00/share by FY30. Dividend yield at current price: ~1.4% (modest contributor to total return).</t>
        </is>
      </c>
      <c r="G38" s="145" t="inlineStr">
        <is>
          <t>Dividend growth does not affect DCF directly (implicit in equity value bridge)</t>
        </is>
      </c>
    </row>
    <row r="39" ht="50" customHeight="1">
      <c r="B39" s="138" t="inlineStr">
        <is>
          <t>C5</t>
        </is>
      </c>
      <c r="C39" s="105" t="inlineStr">
        <is>
          <t>Terminal Growth Rate (TGR)</t>
        </is>
      </c>
      <c r="D39" s="139" t="inlineStr">
        <is>
          <t>3.5%</t>
        </is>
      </c>
      <c r="E39" s="140" t="inlineStr">
        <is>
          <t>2.5% – 4.5%</t>
        </is>
      </c>
      <c r="F39" s="106" t="inlineStr">
        <is>
          <t>KEY ASSUMPTION. Terminal growth rate for perpetuity value. 3.5% reflects: US nominal GDP growth ~3-4%, INTU's TAM expansion in SMB+consumer finance, and AI-driven secular growth tailwinds. Bull: 4.5% TGR (INTU grows faster than GDP indefinitely — justified if AI creates new TAM). Bear: 2.5% TGR (commodity software risk). VALIDATION: TV = 68.1% of total EV at 3.5% TGR — within 75% threshold. ✓</t>
        </is>
      </c>
      <c r="G39" s="141" t="inlineStr">
        <is>
          <t>TGR 3.0% → –$120/share; TGR 4.0% → +$185/share. Most sensitive single assumption!</t>
        </is>
      </c>
    </row>
    <row r="40" ht="50" customHeight="1">
      <c r="B40" s="142" t="inlineStr">
        <is>
          <t>C6</t>
        </is>
      </c>
      <c r="C40" s="109" t="inlineStr">
        <is>
          <t>Net Debt (Bridge to Equity Value)</t>
        </is>
      </c>
      <c r="D40" s="143" t="inlineStr">
        <is>
          <t>$2,583M net debt</t>
        </is>
      </c>
      <c r="E40" s="144" t="inlineStr">
        <is>
          <t>$2.0B – $3.5B</t>
        </is>
      </c>
      <c r="F40" s="110" t="inlineStr">
        <is>
          <t>FY25A Total Debt ~$5.5B; Cash + Investments ~$2.9B; Net Debt ~$2.6B. Debt-to-EBITDA below 1.0x in FY25 (down from 2.3x at time of CK acquisition). Management targeting investment-grade balance sheet. Base assumes net debt reduced to ~$1.0B by FY28 via FCF generation.</t>
        </is>
      </c>
      <c r="G40" s="145" t="inlineStr">
        <is>
          <t>Minimal sensitivity at &lt;3% of enterprise value</t>
        </is>
      </c>
    </row>
    <row r="41" ht="50" customHeight="1">
      <c r="B41" s="138" t="inlineStr">
        <is>
          <t>C7</t>
        </is>
      </c>
      <c r="C41" s="105" t="inlineStr">
        <is>
          <t>Diluted Shares Outstanding</t>
        </is>
      </c>
      <c r="D41" s="139" t="inlineStr">
        <is>
          <t>283M starting; ~275M by FY30</t>
        </is>
      </c>
      <c r="E41" s="140" t="inlineStr">
        <is>
          <t>270M – 290M</t>
        </is>
      </c>
      <c r="F41" s="106" t="inlineStr">
        <is>
          <t>FY25A: ~283M diluted shares. Buyback program reduces share count ~4% annually but stock compensation (SBC ~11% of revenue) adds ~2% back. Net dilution is roughly flat to slightly declining. Base: shares decline from 283M to ~273M by FY30 (net ~3.5% reduction over 5 years).</t>
        </is>
      </c>
      <c r="G41" s="141" t="inlineStr">
        <is>
          <t>Each 1% share reduction = 1% EPS accretion. $3.5B buyback/yr at $307 = 11.4M shares retired</t>
        </is>
      </c>
    </row>
    <row r="42"/>
    <row r="43"/>
    <row r="44" ht="20" customHeight="1">
      <c r="B44" s="148" t="inlineStr">
        <is>
          <t>V. QUALITATIVE BUSINESS ASSUMPTIONS</t>
        </is>
      </c>
    </row>
    <row r="45">
      <c r="B45" s="35" t="inlineStr">
        <is>
          <t>#</t>
        </is>
      </c>
      <c r="C45" s="35" t="inlineStr">
        <is>
          <t>Assumption</t>
        </is>
      </c>
      <c r="D45" s="35" t="inlineStr">
        <is>
          <t>Base Case Value</t>
        </is>
      </c>
      <c r="E45" s="35" t="inlineStr">
        <is>
          <t>Sensitivity Range</t>
        </is>
      </c>
      <c r="F45" s="35" t="inlineStr">
        <is>
          <t>Rationale / Source</t>
        </is>
      </c>
      <c r="G45" s="35" t="inlineStr">
        <is>
          <t>Bull / Bear Delta</t>
        </is>
      </c>
    </row>
    <row r="46" ht="50" customHeight="1">
      <c r="B46" s="138" t="inlineStr">
        <is>
          <t>Q1</t>
        </is>
      </c>
      <c r="C46" s="105" t="inlineStr">
        <is>
          <t>Competitive Moat Durability</t>
        </is>
      </c>
      <c r="D46" s="139" t="inlineStr">
        <is>
          <t>AI data moat intact through FY30</t>
        </is>
      </c>
      <c r="E46" s="140" t="inlineStr">
        <is>
          <t>HIGH confidence for 3 yrs; MEDIUM for 5 yrs</t>
        </is>
      </c>
      <c r="F46" s="106" t="inlineStr">
        <is>
          <t>Intuit's 100M customer dataset is not replicable in 5 years. The depth of financial transaction data (tax filings + bank feeds + payroll + payment processing) creates AI training advantages that new entrants cannot match. However, horizontal AI platforms (Microsoft, Anthropic, Google) may reduce the 'expert assistance' premium over a 7–10 year horizon.</t>
        </is>
      </c>
      <c r="G46" s="141" t="inlineStr">
        <is>
          <t>Moat erosion in Year 3–5 would compress terminal multiple to 14–16x EBITDA (vs. 18x base)</t>
        </is>
      </c>
    </row>
    <row r="47" ht="50" customHeight="1">
      <c r="B47" s="142" t="inlineStr">
        <is>
          <t>Q2</t>
        </is>
      </c>
      <c r="C47" s="109" t="inlineStr">
        <is>
          <t>Management Execution Quality</t>
        </is>
      </c>
      <c r="D47" s="143" t="inlineStr">
        <is>
          <t>High confidence in CEO Sasan Goodarzi and CFO Sandeep Aujla</t>
        </is>
      </c>
      <c r="E47" s="144" t="inlineStr">
        <is>
          <t>Monitor quarterly guidance accuracy</t>
        </is>
      </c>
      <c r="F47" s="110" t="inlineStr">
        <is>
          <t>CEO Goodarzi has successfully navigated: (1) Credit Karma integration, (2) COVID digital acceleration, (3) desktop-to-cloud migration, and now (4) AI agent transformation. Historical guidance accuracy is strong for revenue but Adj. EPS has been volatile due to GAAP vs. non-GAAP divergence from amortization. FY26 workforce restructuring adds execution risk.</t>
        </is>
      </c>
      <c r="G47" s="145" t="inlineStr">
        <is>
          <t>3 consecutive GAAP EPS misses in 4 quarters (Q1/Q2/Q4 FY25, Q1/Q2 FY26) is a monitoring flag</t>
        </is>
      </c>
    </row>
    <row r="48" ht="50" customHeight="1">
      <c r="B48" s="138" t="inlineStr">
        <is>
          <t>Q3</t>
        </is>
      </c>
      <c r="C48" s="105" t="inlineStr">
        <is>
          <t>Macro Environment (US Economy)</t>
        </is>
      </c>
      <c r="D48" s="139" t="inlineStr">
        <is>
          <t>Mild slowdown in FY26 priced in; recovery in FY27+</t>
        </is>
      </c>
      <c r="E48" s="140" t="inlineStr">
        <is>
          <t>Recession scenario: –20–30% PT revision</t>
        </is>
      </c>
      <c r="F48" s="106" t="inlineStr">
        <is>
          <t>Base assumes: moderate US economic growth (2–3% real GDP), credit conditions normalizing in FY27, and unemployment stable below 5%. CK is the most macro-sensitive segment. In a recession, CK could fall to $1.2–1.4B and QuickBooks SMB adds could stall. TurboTax is relatively recession-resistant (still need to file taxes in downturns).</t>
        </is>
      </c>
      <c r="G48" s="141" t="inlineStr">
        <is>
          <t>Recession scenario: Bear case prices imply $340 floor, ~10% downside from current $307</t>
        </is>
      </c>
    </row>
    <row r="49" ht="50" customHeight="1">
      <c r="B49" s="142" t="inlineStr">
        <is>
          <t>Q4</t>
        </is>
      </c>
      <c r="C49" s="109" t="inlineStr">
        <is>
          <t>Regulatory Risk (IRS Free Filing Expansion)</t>
        </is>
      </c>
      <c r="D49" s="143" t="inlineStr">
        <is>
          <t>IRS Direct File expansion is manageable for INTU</t>
        </is>
      </c>
      <c r="E49" s="144" t="inlineStr">
        <is>
          <t>HIGH risk if expanded to all 50 states + free federal + state</t>
        </is>
      </c>
      <c r="F49" s="110" t="inlineStr">
        <is>
          <t>IRS Direct File currently covers 24 states and basic tax situations. If expanded to complex returns (self-employed, investments, multi-state), it would directly compete with TurboTax DIY tier (~$60–90 price point). MITIGATION: TurboTax Live (human+AI, $200+) is not replaceable by IRS software. Management has quantified the maximum DIY exposure as ~$600-700M revenue at risk.</t>
        </is>
      </c>
      <c r="G49" s="145" t="inlineStr">
        <is>
          <t>Maximum IRS Direct File scenario → –$600M Consumer revenue → –$2.00/share EPS impact</t>
        </is>
      </c>
    </row>
    <row r="50"/>
    <row r="51"/>
    <row r="52" ht="30" customHeight="1">
      <c r="B52" s="149" t="inlineStr">
        <is>
          <t>SOURCES: AlphaSpread (WACC, beta), ValueInvesting.io (WACC range), Damodaran (ERP), StockAnalysis (financials), Intuit IR / FY25 10-K / Q3 FY26 earnings call, Consensus estimates, Internal Analysis. Generated: May 22, 2026. All values in USD.</t>
        </is>
      </c>
    </row>
  </sheetData>
  <mergeCells count="8">
    <mergeCell ref="B3:G3"/>
    <mergeCell ref="B2:G2"/>
    <mergeCell ref="B24:G24"/>
    <mergeCell ref="B5:G5"/>
    <mergeCell ref="B52:G52"/>
    <mergeCell ref="B44:G44"/>
    <mergeCell ref="B15:G15"/>
    <mergeCell ref="B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2026-05-22T15:29:54Z</dcterms:created>
  <dcterms:modified xmlns:dcterms="http://purl.org/dc/terms/" xmlns:xsi="http://www.w3.org/2001/XMLSchema-instance" xsi:type="dcterms:W3CDTF">2026-05-22T15:41:19Z</dcterms:modified>
</cp:coreProperties>
</file>