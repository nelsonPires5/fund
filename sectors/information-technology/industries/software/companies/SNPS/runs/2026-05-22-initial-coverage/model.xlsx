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atement &amp; Revenue" sheetId="2" state="visible" r:id="rId2"/>
    <sheet xmlns:r="http://schemas.openxmlformats.org/officeDocument/2006/relationships" name="DCF Valuation" sheetId="3" state="visible" r:id="rId3"/>
    <sheet xmlns:r="http://schemas.openxmlformats.org/officeDocument/2006/relationships" name="Sensitivity Analysis" sheetId="4" state="visible" r:id="rId4"/>
    <sheet xmlns:r="http://schemas.openxmlformats.org/officeDocument/2006/relationships" name="Comps" sheetId="5" state="visible" r:id="rId5"/>
    <sheet xmlns:r="http://schemas.openxmlformats.org/officeDocument/2006/relationships" name="Thesis Tracker" sheetId="6" state="visible" r:id="rId6"/>
    <sheet xmlns:r="http://schemas.openxmlformats.org/officeDocument/2006/relationships" name="DCF Assumptions" sheetId="7" state="visible" r:id="rId7"/>
    <sheet xmlns:r="http://schemas.openxmlformats.org/officeDocument/2006/relationships" name="Valuation Framework" sheetId="8" state="visible" r:id="rId8"/>
    <sheet xmlns:r="http://schemas.openxmlformats.org/officeDocument/2006/relationships" name="Valuation Framework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.00"/>
    <numFmt numFmtId="166" formatCode="0.0000"/>
    <numFmt numFmtId="167" formatCode="$#,##0"/>
  </numFmts>
  <fonts count="3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6100"/>
      <sz val="11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i val="1"/>
      <color rgb="00666666"/>
      <sz val="8"/>
    </font>
    <font>
      <name val="Calibri"/>
      <b val="1"/>
      <color rgb="001F3864"/>
      <sz val="13"/>
    </font>
    <font>
      <name val="Calibri"/>
      <color rgb="001A4B8C"/>
      <sz val="10"/>
    </font>
    <font>
      <name val="Calibri"/>
      <color rgb="000000FF"/>
      <sz val="10"/>
    </font>
    <font>
      <name val="Calibri"/>
      <i val="1"/>
      <color rgb="00666666"/>
      <sz val="9"/>
    </font>
    <font>
      <name val="Calibri"/>
      <color rgb="00C00000"/>
      <sz val="10"/>
    </font>
    <font>
      <name val="Calibri"/>
      <b val="1"/>
      <color rgb="00006100"/>
      <sz val="12"/>
    </font>
    <font>
      <name val="Calibri"/>
      <b val="1"/>
      <color rgb="00000000"/>
      <sz val="9"/>
    </font>
    <font>
      <name val="Calibri"/>
      <sz val="10"/>
    </font>
    <font>
      <name val="Calibri"/>
      <b val="1"/>
      <color rgb="007F6000"/>
      <sz val="10"/>
    </font>
    <font>
      <name val="Calibri"/>
      <i val="1"/>
      <color rgb="00C00000"/>
      <sz val="8"/>
    </font>
    <font>
      <name val="Calibri"/>
      <b val="1"/>
      <color rgb="001A4B8C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color rgb="00444444"/>
      <sz val="9"/>
    </font>
    <font>
      <name val="Calibri"/>
      <i val="1"/>
      <color rgb="001A4B8C"/>
      <sz val="9"/>
    </font>
    <font>
      <name val="Calibri"/>
      <b val="1"/>
      <sz val="10"/>
    </font>
    <font>
      <name val="Calibri"/>
      <i val="1"/>
      <color rgb="00444444"/>
      <sz val="9"/>
    </font>
    <font>
      <name val="Calibri"/>
      <sz val="9"/>
    </font>
    <font>
      <name val="Calibri"/>
      <i val="1"/>
      <color rgb="00C00000"/>
      <sz val="9"/>
    </font>
    <font>
      <name val="Calibri"/>
      <b val="1"/>
      <color rgb="00C00000"/>
      <sz val="10"/>
    </font>
    <font>
      <name val="Calibri"/>
      <b val="1"/>
      <color rgb="00006100"/>
      <sz val="10"/>
    </font>
    <font>
      <name val="Calibri"/>
      <b val="1"/>
      <color rgb="0000000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000000"/>
      <sz val="12"/>
    </font>
    <font>
      <name val="Calibri"/>
      <i val="1"/>
      <color rgb="00006100"/>
      <sz val="9"/>
    </font>
    <font>
      <name val="Calibri"/>
      <color rgb="000000FF"/>
      <sz val="10"/>
      <u val="single"/>
    </font>
    <font>
      <name val="Calibri"/>
      <color rgb="00666666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EEF3FB"/>
      </patternFill>
    </fill>
    <fill>
      <patternFill patternType="solid">
        <fgColor rgb="001A4B8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E9F0FB"/>
      </patternFill>
    </fill>
    <fill>
      <patternFill patternType="solid">
        <fgColor rgb="00FFF2CC"/>
      </patternFill>
    </fill>
    <fill>
      <patternFill patternType="solid">
        <fgColor rgb="00F8696B"/>
      </patternFill>
    </fill>
    <fill>
      <patternFill patternType="solid">
        <fgColor rgb="0063BE7B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0061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3" fillId="4" borderId="0" applyAlignment="1" pivotButton="0" quotePrefix="0" xfId="0">
      <alignment horizontal="left" indent="1"/>
    </xf>
    <xf numFmtId="0" fontId="36" fillId="0" borderId="0" pivotButton="0" quotePrefix="0" xfId="0"/>
    <xf numFmtId="0" fontId="37" fillId="0" borderId="0" pivotButton="0" quotePrefix="0" xfId="0"/>
    <xf numFmtId="0" fontId="10" fillId="6" borderId="0" pivotButton="0" quotePrefix="0" xfId="0"/>
    <xf numFmtId="0" fontId="8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indent="1"/>
    </xf>
    <xf numFmtId="3" fontId="4" fillId="0" borderId="0" applyAlignment="1" pivotButton="0" quotePrefix="0" xfId="0">
      <alignment horizontal="right" vertical="center"/>
    </xf>
    <xf numFmtId="3" fontId="11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12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4" fontId="3" fillId="9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3" fontId="4" fillId="1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0" fontId="13" fillId="0" borderId="0" pivotButton="0" quotePrefix="0" xfId="0"/>
    <xf numFmtId="0" fontId="4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center" wrapText="1"/>
    </xf>
    <xf numFmtId="0" fontId="8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167" fontId="17" fillId="0" borderId="0" applyAlignment="1" pivotButton="0" quotePrefix="0" xfId="0">
      <alignment horizontal="center"/>
    </xf>
    <xf numFmtId="167" fontId="18" fillId="11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5" fillId="13" borderId="0" applyAlignment="1" pivotButton="0" quotePrefix="0" xfId="0">
      <alignment horizontal="center"/>
    </xf>
    <xf numFmtId="0" fontId="19" fillId="0" borderId="0" pivotButton="0" quotePrefix="0" xfId="0"/>
    <xf numFmtId="0" fontId="4" fillId="5" borderId="0" applyAlignment="1" pivotButton="0" quotePrefix="0" xfId="0">
      <alignment horizontal="left" indent="1"/>
    </xf>
    <xf numFmtId="0" fontId="4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left" indent="1"/>
    </xf>
    <xf numFmtId="0" fontId="20" fillId="6" borderId="0" applyAlignment="1" pivotButton="0" quotePrefix="0" xfId="0">
      <alignment horizontal="left" indent="1"/>
    </xf>
    <xf numFmtId="0" fontId="20" fillId="6" borderId="0" applyAlignment="1" pivotButton="0" quotePrefix="0" xfId="0">
      <alignment horizontal="center"/>
    </xf>
    <xf numFmtId="0" fontId="18" fillId="11" borderId="0" applyAlignment="1" pivotButton="0" quotePrefix="0" xfId="0">
      <alignment horizontal="left" indent="1"/>
    </xf>
    <xf numFmtId="0" fontId="18" fillId="11" borderId="0" applyAlignment="1" pivotButton="0" quotePrefix="0" xfId="0">
      <alignment horizontal="center"/>
    </xf>
    <xf numFmtId="0" fontId="21" fillId="3" borderId="0" applyAlignment="1" pivotButton="0" quotePrefix="0" xfId="0">
      <alignment horizontal="left" indent="1"/>
    </xf>
    <xf numFmtId="0" fontId="21" fillId="3" borderId="0" applyAlignment="1" pivotButton="0" quotePrefix="0" xfId="0">
      <alignment horizontal="center"/>
    </xf>
    <xf numFmtId="0" fontId="22" fillId="7" borderId="0" applyAlignment="1" pivotButton="0" quotePrefix="0" xfId="0">
      <alignment horizontal="left" indent="1"/>
    </xf>
    <xf numFmtId="0" fontId="5" fillId="5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left" wrapText="1" indent="1"/>
    </xf>
    <xf numFmtId="0" fontId="23" fillId="0" borderId="0" applyAlignment="1" pivotButton="0" quotePrefix="0" xfId="0">
      <alignment horizontal="left" wrapText="1" indent="1"/>
    </xf>
    <xf numFmtId="0" fontId="24" fillId="0" borderId="0" applyAlignment="1" pivotButton="0" quotePrefix="0" xfId="0">
      <alignment horizontal="left" wrapText="1" indent="1"/>
    </xf>
    <xf numFmtId="0" fontId="25" fillId="9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wrapText="1" indent="1"/>
    </xf>
    <xf numFmtId="0" fontId="25" fillId="11" borderId="0" applyAlignment="1" pivotButton="0" quotePrefix="0" xfId="0">
      <alignment horizontal="center"/>
    </xf>
    <xf numFmtId="0" fontId="22" fillId="14" borderId="0" applyAlignment="1" pivotButton="0" quotePrefix="0" xfId="0">
      <alignment horizontal="left" indent="1"/>
    </xf>
    <xf numFmtId="0" fontId="8" fillId="14" borderId="0" applyAlignment="1" pivotButton="0" quotePrefix="0" xfId="0">
      <alignment horizontal="center" vertical="center" wrapText="1"/>
    </xf>
    <xf numFmtId="0" fontId="25" fillId="15" borderId="0" applyAlignment="1" pivotButton="0" quotePrefix="0" xfId="0">
      <alignment horizontal="center"/>
    </xf>
    <xf numFmtId="0" fontId="26" fillId="0" borderId="0" applyAlignment="1" pivotButton="0" quotePrefix="0" xfId="0">
      <alignment horizontal="left" wrapText="1" indent="1"/>
    </xf>
    <xf numFmtId="0" fontId="22" fillId="16" borderId="0" applyAlignment="1" pivotButton="0" quotePrefix="0" xfId="0">
      <alignment horizontal="left" indent="1"/>
    </xf>
    <xf numFmtId="0" fontId="8" fillId="16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wrapText="1" indent="1"/>
    </xf>
    <xf numFmtId="0" fontId="7" fillId="5" borderId="0" applyAlignment="1" pivotButton="0" quotePrefix="0" xfId="0">
      <alignment horizontal="center" wrapText="1" indent="1"/>
    </xf>
    <xf numFmtId="0" fontId="7" fillId="5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center" wrapText="1" indent="1"/>
    </xf>
    <xf numFmtId="0" fontId="5" fillId="0" borderId="0" applyAlignment="1" pivotButton="0" quotePrefix="0" xfId="0">
      <alignment horizontal="left" wrapText="1" indent="1"/>
    </xf>
    <xf numFmtId="0" fontId="22" fillId="17" borderId="0" applyAlignment="1" pivotButton="0" quotePrefix="0" xfId="0">
      <alignment horizontal="left" indent="1"/>
    </xf>
    <xf numFmtId="0" fontId="8" fillId="17" borderId="0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indent="1"/>
    </xf>
    <xf numFmtId="0" fontId="27" fillId="5" borderId="0" applyAlignment="1" pivotButton="0" quotePrefix="0" xfId="0">
      <alignment horizontal="left" indent="1"/>
    </xf>
    <xf numFmtId="0" fontId="27" fillId="9" borderId="0" applyAlignment="1" pivotButton="0" quotePrefix="0" xfId="0">
      <alignment horizontal="center"/>
    </xf>
    <xf numFmtId="0" fontId="27" fillId="5" borderId="0" applyAlignment="1" pivotButton="0" quotePrefix="0" xfId="0">
      <alignment horizontal="center"/>
    </xf>
    <xf numFmtId="0" fontId="25" fillId="0" borderId="0" applyAlignment="1" pivotButton="0" quotePrefix="0" xfId="0">
      <alignment horizontal="left" indent="1"/>
    </xf>
    <xf numFmtId="0" fontId="27" fillId="0" borderId="0" applyAlignment="1" pivotButton="0" quotePrefix="0" xfId="0">
      <alignment horizontal="left" indent="1"/>
    </xf>
    <xf numFmtId="0" fontId="27" fillId="0" borderId="0" applyAlignment="1" pivotButton="0" quotePrefix="0" xfId="0">
      <alignment horizontal="center"/>
    </xf>
    <xf numFmtId="0" fontId="27" fillId="15" borderId="0" applyAlignment="1" pivotButton="0" quotePrefix="0" xfId="0">
      <alignment horizontal="center"/>
    </xf>
    <xf numFmtId="0" fontId="8" fillId="7" borderId="0" applyAlignment="1" pivotButton="0" quotePrefix="0" xfId="0">
      <alignment horizontal="left" indent="1"/>
    </xf>
    <xf numFmtId="0" fontId="12" fillId="0" borderId="0" applyAlignment="1" pivotButton="0" quotePrefix="0" xfId="0">
      <alignment horizontal="center"/>
    </xf>
    <xf numFmtId="0" fontId="12" fillId="11" borderId="0" applyAlignment="1" pivotButton="0" quotePrefix="0" xfId="0">
      <alignment horizontal="center"/>
    </xf>
    <xf numFmtId="0" fontId="26" fillId="0" borderId="0" applyAlignment="1" pivotButton="0" quotePrefix="0" xfId="0">
      <alignment horizontal="left" indent="1"/>
    </xf>
    <xf numFmtId="0" fontId="8" fillId="3" borderId="0" applyAlignment="1" pivotButton="0" quotePrefix="0" xfId="0">
      <alignment horizontal="left" indent="1"/>
    </xf>
    <xf numFmtId="0" fontId="28" fillId="0" borderId="0" applyAlignment="1" pivotButton="0" quotePrefix="0" xfId="0">
      <alignment horizontal="left" wrapText="1" indent="1"/>
    </xf>
    <xf numFmtId="0" fontId="29" fillId="5" borderId="0" applyAlignment="1" pivotButton="0" quotePrefix="0" xfId="0">
      <alignment horizontal="center"/>
    </xf>
    <xf numFmtId="0" fontId="30" fillId="5" borderId="0" applyAlignment="1" pivotButton="0" quotePrefix="0" xfId="0">
      <alignment horizontal="center"/>
    </xf>
    <xf numFmtId="0" fontId="26" fillId="5" borderId="0" applyAlignment="1" pivotButton="0" quotePrefix="0" xfId="0">
      <alignment horizontal="left" wrapText="1" indent="1"/>
    </xf>
    <xf numFmtId="0" fontId="29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left" vertical="center" indent="1"/>
    </xf>
    <xf numFmtId="0" fontId="8" fillId="3" borderId="0" applyAlignment="1" pivotButton="0" quotePrefix="0" xfId="0">
      <alignment horizontal="center"/>
    </xf>
    <xf numFmtId="0" fontId="31" fillId="11" borderId="0" applyAlignment="1" pivotButton="0" quotePrefix="0" xfId="0">
      <alignment horizontal="left" indent="1"/>
    </xf>
    <xf numFmtId="0" fontId="31" fillId="11" borderId="0" applyAlignment="1" pivotButton="0" quotePrefix="0" xfId="0">
      <alignment horizontal="center"/>
    </xf>
    <xf numFmtId="0" fontId="32" fillId="0" borderId="0" pivotButton="0" quotePrefix="0" xfId="0"/>
    <xf numFmtId="0" fontId="0" fillId="5" borderId="0" applyAlignment="1" pivotButton="0" quotePrefix="0" xfId="0">
      <alignment horizontal="center"/>
    </xf>
    <xf numFmtId="0" fontId="26" fillId="5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center"/>
    </xf>
    <xf numFmtId="0" fontId="33" fillId="11" borderId="0" applyAlignment="1" pivotButton="0" quotePrefix="0" xfId="0">
      <alignment horizontal="left" indent="1"/>
    </xf>
    <xf numFmtId="0" fontId="33" fillId="11" borderId="0" applyAlignment="1" pivotButton="0" quotePrefix="0" xfId="0">
      <alignment horizontal="center"/>
    </xf>
    <xf numFmtId="0" fontId="34" fillId="0" borderId="0" applyAlignment="1" pivotButton="0" quotePrefix="0" xfId="0">
      <alignment horizontal="left" indent="1"/>
    </xf>
    <xf numFmtId="0" fontId="34" fillId="0" borderId="0" applyAlignment="1" pivotButton="0" quotePrefix="0" xfId="0">
      <alignment horizontal="center"/>
    </xf>
    <xf numFmtId="0" fontId="32" fillId="16" borderId="0" applyAlignment="1" pivotButton="0" quotePrefix="0" xfId="0">
      <alignment horizontal="center"/>
    </xf>
    <xf numFmtId="0" fontId="35" fillId="0" borderId="0" applyAlignment="1" pivotButton="0" quotePrefix="0" xfId="0">
      <alignment horizontal="left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9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 ht="28" customHeight="1">
      <c r="B2" s="1" t="inlineStr">
        <is>
          <t>SYNOPSYS, INC. (SNPS) — INITIATING COVERAGE</t>
        </is>
      </c>
    </row>
    <row r="3">
      <c r="B3" s="2" t="inlineStr">
        <is>
          <t>Technology | EDA &amp; Engineering Simulation Software | Generated: May 22, 2026</t>
        </is>
      </c>
    </row>
    <row r="5" ht="16" customHeight="1">
      <c r="B5" s="3" t="inlineStr">
        <is>
          <t>KEY METRICS</t>
        </is>
      </c>
      <c r="F5" s="3" t="inlineStr">
        <is>
          <t>INVESTMENT THESIS SUMMARY</t>
        </is>
      </c>
    </row>
    <row r="6" ht="15" customHeight="1">
      <c r="B6" s="4" t="inlineStr">
        <is>
          <t>Rating</t>
        </is>
      </c>
      <c r="C6" s="5" t="inlineStr">
        <is>
          <t>BUY</t>
        </is>
      </c>
      <c r="F6" s="6" t="inlineStr">
        <is>
          <t>1. EDA Market Leadership: ~35-40% global EDA share; mission-critical software</t>
        </is>
      </c>
    </row>
    <row r="7" ht="15" customHeight="1">
      <c r="B7" s="4" t="inlineStr">
        <is>
          <t>Price Target</t>
        </is>
      </c>
      <c r="C7" s="7" t="inlineStr">
        <is>
          <t>$585</t>
        </is>
      </c>
      <c r="F7" s="6" t="inlineStr">
        <is>
          <t xml:space="preserve">   with sticky renewal cycles and 84% recurring revenue (Q1 FY2026).</t>
        </is>
      </c>
    </row>
    <row r="8" ht="15" customHeight="1">
      <c r="B8" s="4" t="inlineStr">
        <is>
          <t>Current Price</t>
        </is>
      </c>
      <c r="C8" s="7" t="inlineStr">
        <is>
          <t>$503.98</t>
        </is>
      </c>
      <c r="F8" s="6" t="inlineStr">
        <is>
          <t>2. Ansys Transformational Deal: $35B acquisition closed Jul 2025 creates</t>
        </is>
      </c>
    </row>
    <row r="9" ht="15" customHeight="1">
      <c r="B9" s="4" t="inlineStr">
        <is>
          <t>Upside / Downside</t>
        </is>
      </c>
      <c r="C9" s="7" t="inlineStr">
        <is>
          <t>16.1%</t>
        </is>
      </c>
      <c r="F9" s="6" t="inlineStr">
        <is>
          <t xml:space="preserve">   first "silicon-to-systems" design platform; $31B TAM by 2028.</t>
        </is>
      </c>
    </row>
    <row r="10" ht="15" customHeight="1">
      <c r="B10" s="4" t="inlineStr">
        <is>
          <t>52-Week Range</t>
        </is>
      </c>
      <c r="C10" s="7" t="inlineStr">
        <is>
          <t>$374 – $607</t>
        </is>
      </c>
      <c r="F10" s="6" t="inlineStr">
        <is>
          <t>3. AI Tailwinds: Chip design complexity surge drives EDA tool demand;</t>
        </is>
      </c>
    </row>
    <row r="11" ht="15" customHeight="1">
      <c r="B11" s="4" t="inlineStr">
        <is>
          <t>Market Cap</t>
        </is>
      </c>
      <c r="C11" s="7" t="inlineStr">
        <is>
          <t>~$96B</t>
        </is>
      </c>
      <c r="F11" s="6" t="inlineStr">
        <is>
          <t xml:space="preserve">   NVIDIA $2B stake validates the AI-accelerated engineering vision.</t>
        </is>
      </c>
    </row>
    <row r="12" ht="15" customHeight="1">
      <c r="B12" s="4" t="inlineStr">
        <is>
          <t>Net Debt (post-Ansys)</t>
        </is>
      </c>
      <c r="C12" s="7" t="inlineStr">
        <is>
          <t>~$7.8B</t>
        </is>
      </c>
      <c r="F12" s="6" t="inlineStr">
        <is>
          <t>4. Margin Expansion Path: Non-GAAP operating margin guided 40.5% FY2026;</t>
        </is>
      </c>
    </row>
    <row r="13" ht="15" customHeight="1">
      <c r="B13" s="4" t="inlineStr">
        <is>
          <t>FY2025 Revenue</t>
        </is>
      </c>
      <c r="C13" s="7" t="inlineStr">
        <is>
          <t>$7.05B</t>
        </is>
      </c>
      <c r="F13" s="6" t="inlineStr">
        <is>
          <t xml:space="preserve">   target mid-40s%; FY2026 FCF guidance ~$1.9B (+$700M YoY).</t>
        </is>
      </c>
    </row>
    <row r="14" ht="15" customHeight="1">
      <c r="B14" s="4" t="inlineStr">
        <is>
          <t>FY2026E Revenue</t>
        </is>
      </c>
      <c r="C14" s="7" t="inlineStr">
        <is>
          <t>$9.61B (guided)</t>
        </is>
      </c>
      <c r="F14" s="6" t="inlineStr">
        <is>
          <t>5. Debt Deleveraging: $13.5B debt peak to be cut to &lt;$2.6B by FY2026 end;</t>
        </is>
      </c>
    </row>
    <row r="15" ht="15" customHeight="1">
      <c r="B15" s="4" t="inlineStr">
        <is>
          <t>FY2026E Non-GAAP EPS</t>
        </is>
      </c>
      <c r="C15" s="7" t="inlineStr">
        <is>
          <t>$14.38 (guided)</t>
        </is>
      </c>
      <c r="F15" s="6" t="inlineStr">
        <is>
          <t xml:space="preserve">   aggressive paydown reinforces balance sheet quality.</t>
        </is>
      </c>
    </row>
    <row r="16" ht="15" customHeight="1">
      <c r="B16" s="4" t="inlineStr">
        <is>
          <t>Shares Outstanding</t>
        </is>
      </c>
      <c r="C16" s="7" t="inlineStr">
        <is>
          <t>~191M diluted</t>
        </is>
      </c>
    </row>
    <row r="18" ht="16" customHeight="1">
      <c r="B18" s="8" t="inlineStr">
        <is>
          <t>Metric</t>
        </is>
      </c>
      <c r="C18" s="8" t="inlineStr">
        <is>
          <t>FY2021A</t>
        </is>
      </c>
      <c r="D18" s="8" t="inlineStr">
        <is>
          <t>FY2022A</t>
        </is>
      </c>
      <c r="E18" s="8" t="inlineStr">
        <is>
          <t>FY2023A</t>
        </is>
      </c>
      <c r="F18" s="8" t="inlineStr">
        <is>
          <t>FY2024A</t>
        </is>
      </c>
      <c r="G18" s="8" t="inlineStr">
        <is>
          <t>FY2025A</t>
        </is>
      </c>
      <c r="H18" s="8" t="inlineStr">
        <is>
          <t>FY2026E</t>
        </is>
      </c>
      <c r="I18" s="8" t="inlineStr">
        <is>
          <t>FY2027E</t>
        </is>
      </c>
    </row>
    <row r="19" ht="15" customHeight="1">
      <c r="B19" s="4" t="inlineStr">
        <is>
          <t>Revenue ($M)</t>
        </is>
      </c>
      <c r="C19" s="9" t="n">
        <v>4204</v>
      </c>
      <c r="D19" s="9" t="n">
        <v>4616</v>
      </c>
      <c r="E19" s="9" t="n">
        <v>5318</v>
      </c>
      <c r="F19" s="9" t="n">
        <v>6127</v>
      </c>
      <c r="G19" s="9" t="n">
        <v>7054</v>
      </c>
      <c r="H19" s="9" t="n">
        <v>9610</v>
      </c>
      <c r="I19" s="9" t="n">
        <v>10764</v>
      </c>
    </row>
    <row r="20" ht="15" customHeight="1">
      <c r="B20" s="4" t="inlineStr">
        <is>
          <t>YoY Growth (%)</t>
        </is>
      </c>
      <c r="C20" s="10" t="inlineStr"/>
      <c r="D20" s="10" t="inlineStr">
        <is>
          <t>9.8%</t>
        </is>
      </c>
      <c r="E20" s="10" t="inlineStr">
        <is>
          <t>15.2%</t>
        </is>
      </c>
      <c r="F20" s="10" t="inlineStr">
        <is>
          <t>15.2%</t>
        </is>
      </c>
      <c r="G20" s="10" t="inlineStr">
        <is>
          <t>15.1%</t>
        </is>
      </c>
      <c r="H20" s="10" t="inlineStr">
        <is>
          <t>36.2%</t>
        </is>
      </c>
      <c r="I20" s="10" t="inlineStr">
        <is>
          <t>12.0%</t>
        </is>
      </c>
    </row>
    <row r="21" ht="15" customHeight="1">
      <c r="B21" s="4" t="inlineStr">
        <is>
          <t>Adj EBIT ($M)</t>
        </is>
      </c>
      <c r="C21" s="9" t="n">
        <v>1281</v>
      </c>
      <c r="D21" s="9" t="n">
        <v>1580</v>
      </c>
      <c r="E21" s="9" t="n">
        <v>1928</v>
      </c>
      <c r="F21" s="9" t="n">
        <v>2362</v>
      </c>
      <c r="G21" s="9" t="n">
        <v>2633</v>
      </c>
      <c r="H21" s="9" t="inlineStr">
        <is>
          <t>~3892</t>
        </is>
      </c>
      <c r="I21" s="9" t="inlineStr">
        <is>
          <t>~4467</t>
        </is>
      </c>
    </row>
    <row r="22" ht="15" customHeight="1">
      <c r="B22" s="4" t="inlineStr">
        <is>
          <t>Adj EBIT Margin</t>
        </is>
      </c>
      <c r="C22" s="10" t="inlineStr">
        <is>
          <t>30.5%</t>
        </is>
      </c>
      <c r="D22" s="10" t="inlineStr">
        <is>
          <t>34.2%</t>
        </is>
      </c>
      <c r="E22" s="10" t="inlineStr">
        <is>
          <t>36.2%</t>
        </is>
      </c>
      <c r="F22" s="10" t="inlineStr">
        <is>
          <t>38.5%</t>
        </is>
      </c>
      <c r="G22" s="10" t="inlineStr">
        <is>
          <t>37.3%</t>
        </is>
      </c>
      <c r="H22" s="10" t="inlineStr">
        <is>
          <t>40.5%</t>
        </is>
      </c>
      <c r="I22" s="10" t="inlineStr">
        <is>
          <t>41.5%</t>
        </is>
      </c>
    </row>
    <row r="23" ht="15" customHeight="1">
      <c r="B23" s="4" t="inlineStr">
        <is>
          <t>Adj EBITDA ($M)</t>
        </is>
      </c>
      <c r="C23" s="9" t="n">
        <v>1090</v>
      </c>
      <c r="D23" s="9" t="n">
        <v>1540</v>
      </c>
      <c r="E23" s="9" t="n">
        <v>1700</v>
      </c>
      <c r="F23" s="9" t="n">
        <v>1822</v>
      </c>
      <c r="G23" s="9" t="n">
        <v>1746</v>
      </c>
      <c r="H23" s="9" t="inlineStr">
        <is>
          <t>~3892</t>
        </is>
      </c>
      <c r="I23" s="9" t="inlineStr">
        <is>
          <t>~4467</t>
        </is>
      </c>
    </row>
    <row r="24" ht="15" customHeight="1">
      <c r="B24" s="4" t="inlineStr">
        <is>
          <t>Adj EPS</t>
        </is>
      </c>
      <c r="C24" s="10" t="inlineStr">
        <is>
          <t>$6.84</t>
        </is>
      </c>
      <c r="D24" s="10" t="inlineStr">
        <is>
          <t>$8.90</t>
        </is>
      </c>
      <c r="E24" s="10" t="inlineStr">
        <is>
          <t>$10.54</t>
        </is>
      </c>
      <c r="F24" s="10" t="inlineStr">
        <is>
          <t>$13.20</t>
        </is>
      </c>
      <c r="G24" s="10" t="inlineStr">
        <is>
          <t>$12.91</t>
        </is>
      </c>
      <c r="H24" s="10" t="inlineStr">
        <is>
          <t>$14.38G</t>
        </is>
      </c>
      <c r="I24" s="10" t="inlineStr">
        <is>
          <t>~$15.90E</t>
        </is>
      </c>
    </row>
    <row r="25" ht="15" customHeight="1">
      <c r="B25" s="4" t="inlineStr">
        <is>
          <t>Adj FCF ($M)</t>
        </is>
      </c>
      <c r="C25" s="9" t="n">
        <v>1399</v>
      </c>
      <c r="D25" s="9" t="n">
        <v>1602</v>
      </c>
      <c r="E25" s="9" t="n">
        <v>1514</v>
      </c>
      <c r="F25" s="9" t="n">
        <v>1268</v>
      </c>
      <c r="G25" s="9" t="n">
        <v>1349</v>
      </c>
      <c r="H25" s="9" t="inlineStr">
        <is>
          <t>~1900G</t>
        </is>
      </c>
      <c r="I25" s="9" t="inlineStr">
        <is>
          <t>~2400E</t>
        </is>
      </c>
    </row>
    <row r="26" ht="15" customHeight="1">
      <c r="B26" s="4" t="inlineStr">
        <is>
          <t>Adj FCF Margin</t>
        </is>
      </c>
      <c r="C26" s="10" t="inlineStr">
        <is>
          <t>33.3%</t>
        </is>
      </c>
      <c r="D26" s="10" t="inlineStr">
        <is>
          <t>34.7%</t>
        </is>
      </c>
      <c r="E26" s="10" t="inlineStr">
        <is>
          <t>28.5%</t>
        </is>
      </c>
      <c r="F26" s="10" t="inlineStr">
        <is>
          <t>20.7%</t>
        </is>
      </c>
      <c r="G26" s="10" t="inlineStr">
        <is>
          <t>19.1%</t>
        </is>
      </c>
      <c r="H26" s="10" t="inlineStr">
        <is>
          <t>~19.8%</t>
        </is>
      </c>
      <c r="I26" s="10" t="inlineStr">
        <is>
          <t>~22.3%</t>
        </is>
      </c>
    </row>
    <row r="28">
      <c r="B28" s="11" t="inlineStr">
        <is>
          <t>G = Management Guidance | E = Analyst/Model Estimate | A = Actual | Sources: SNPS Press Releases, alphaspread.com, quartr.com</t>
        </is>
      </c>
    </row>
    <row r="32">
      <c r="B32" s="12" t="inlineStr">
        <is>
          <t>WORKBOOK NAVIGATOR</t>
        </is>
      </c>
    </row>
    <row r="33" ht="15" customHeight="1">
      <c r="B33" s="13" t="inlineStr">
        <is>
          <t>Income Statement &amp; Revenue</t>
        </is>
      </c>
      <c r="C33" s="14" t="inlineStr">
        <is>
          <t>→ Sheet 2</t>
        </is>
      </c>
    </row>
    <row r="34" ht="15" customHeight="1">
      <c r="B34" s="13" t="inlineStr">
        <is>
          <t>DCF Valuation</t>
        </is>
      </c>
      <c r="C34" s="14" t="inlineStr">
        <is>
          <t>→ Sheet 3</t>
        </is>
      </c>
    </row>
    <row r="35" ht="15" customHeight="1">
      <c r="B35" s="13" t="inlineStr">
        <is>
          <t>Sensitivity Analysis</t>
        </is>
      </c>
      <c r="C35" s="14" t="inlineStr">
        <is>
          <t>→ Sheet 4</t>
        </is>
      </c>
    </row>
    <row r="36" ht="15" customHeight="1">
      <c r="B36" s="13" t="inlineStr">
        <is>
          <t>Comps</t>
        </is>
      </c>
      <c r="C36" s="14" t="inlineStr">
        <is>
          <t>→ Sheet 5</t>
        </is>
      </c>
    </row>
    <row r="37" ht="15" customHeight="1">
      <c r="B37" s="13" t="inlineStr">
        <is>
          <t>Thesis Tracker</t>
        </is>
      </c>
      <c r="C37" s="14" t="inlineStr">
        <is>
          <t>→ Sheet 6</t>
        </is>
      </c>
    </row>
    <row r="38" ht="15" customHeight="1">
      <c r="B38" s="13" t="inlineStr">
        <is>
          <t>DCF Assumptions</t>
        </is>
      </c>
      <c r="C38" s="14" t="inlineStr">
        <is>
          <t>→ Sheet 7</t>
        </is>
      </c>
    </row>
    <row r="39" ht="15" customHeight="1">
      <c r="B39" s="13" t="inlineStr">
        <is>
          <t>Valuation Framework</t>
        </is>
      </c>
      <c r="C39" s="14" t="inlineStr">
        <is>
          <t>→ Sheet 8</t>
        </is>
      </c>
    </row>
  </sheetData>
  <mergeCells count="16">
    <mergeCell ref="F14:I14"/>
    <mergeCell ref="F13:I13"/>
    <mergeCell ref="F9:I9"/>
    <mergeCell ref="F7:I7"/>
    <mergeCell ref="F8:I8"/>
    <mergeCell ref="B2:I2"/>
    <mergeCell ref="F11:I11"/>
    <mergeCell ref="F12:I12"/>
    <mergeCell ref="B28:I28"/>
    <mergeCell ref="B3:I3"/>
    <mergeCell ref="F15:I15"/>
    <mergeCell ref="B5:E5"/>
    <mergeCell ref="F5:I5"/>
    <mergeCell ref="F10:I10"/>
    <mergeCell ref="B32:I32"/>
    <mergeCell ref="F6:I6"/>
  </mergeCells>
  <hyperlinks>
    <hyperlink ref="B33" location="'Income Statement &amp; Revenue'!A1"/>
    <hyperlink ref="B34" location="'DCF Valuation'!A1"/>
    <hyperlink ref="B35" location="'Sensitivity Analysis'!A1"/>
    <hyperlink ref="B36" location="'Comps'!A1"/>
    <hyperlink ref="B37" location="'Thesis Tracker'!A1"/>
    <hyperlink ref="B38" location="'DCF Assumptions'!A1"/>
    <hyperlink ref="B39" location="'Valuation Framework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 ht="22" customHeight="1">
      <c r="B2" s="15" t="inlineStr">
        <is>
          <t>SYNOPSYS INC. — HISTORICAL &amp; PROJECTED INCOME STATEMENT  (Adjusted / Non-GAAP, USD $M)</t>
        </is>
      </c>
    </row>
    <row r="4" ht="18" customHeight="1">
      <c r="B4" s="8" t="inlineStr">
        <is>
          <t>Line Item  ($M unless noted)</t>
        </is>
      </c>
      <c r="C4" s="8" t="inlineStr">
        <is>
          <t>FY2021A</t>
        </is>
      </c>
      <c r="D4" s="8" t="inlineStr">
        <is>
          <t>FY2022A</t>
        </is>
      </c>
      <c r="E4" s="8" t="inlineStr">
        <is>
          <t>FY2023A</t>
        </is>
      </c>
      <c r="F4" s="8" t="inlineStr">
        <is>
          <t>FY2024A</t>
        </is>
      </c>
      <c r="G4" s="8" t="inlineStr">
        <is>
          <t>FY2025A</t>
        </is>
      </c>
      <c r="H4" s="16" t="inlineStr">
        <is>
          <t>FY2026E</t>
        </is>
      </c>
      <c r="I4" s="16" t="inlineStr">
        <is>
          <t>FY2027E</t>
        </is>
      </c>
      <c r="J4" s="16" t="inlineStr">
        <is>
          <t>FY2028E</t>
        </is>
      </c>
      <c r="K4" s="16" t="inlineStr">
        <is>
          <t>FY2029E</t>
        </is>
      </c>
      <c r="L4" s="16" t="inlineStr">
        <is>
          <t>FY2030E</t>
        </is>
      </c>
    </row>
    <row r="5" ht="15" customHeight="1">
      <c r="B5" s="17" t="inlineStr">
        <is>
          <t>REVENUE</t>
        </is>
      </c>
    </row>
    <row r="6" ht="15" customHeight="1">
      <c r="B6" s="4" t="inlineStr">
        <is>
          <t>Revenue ($M)</t>
        </is>
      </c>
      <c r="C6" s="18" t="n">
        <v>4204</v>
      </c>
      <c r="D6" s="18" t="n">
        <v>4616</v>
      </c>
      <c r="E6" s="18" t="n">
        <v>5318</v>
      </c>
      <c r="F6" s="18" t="n">
        <v>6127</v>
      </c>
      <c r="G6" s="18" t="n">
        <v>7054</v>
      </c>
      <c r="H6" s="19" t="n">
        <v>9610</v>
      </c>
      <c r="I6" s="19" t="n">
        <v>10764</v>
      </c>
      <c r="J6" s="19" t="n">
        <v>11840</v>
      </c>
      <c r="K6" s="19" t="n">
        <v>12906</v>
      </c>
      <c r="L6" s="19" t="n">
        <v>13938</v>
      </c>
    </row>
    <row r="7" ht="15" customHeight="1">
      <c r="B7" s="4" t="inlineStr">
        <is>
          <t xml:space="preserve">  YoY Growth</t>
        </is>
      </c>
      <c r="C7" s="20" t="inlineStr"/>
      <c r="D7" s="20" t="inlineStr">
        <is>
          <t>9.8%</t>
        </is>
      </c>
      <c r="E7" s="20" t="inlineStr">
        <is>
          <t>15.2%</t>
        </is>
      </c>
      <c r="F7" s="20" t="inlineStr">
        <is>
          <t>15.2%</t>
        </is>
      </c>
      <c r="G7" s="20" t="inlineStr">
        <is>
          <t>15.1%</t>
        </is>
      </c>
      <c r="H7" s="21" t="inlineStr">
        <is>
          <t>36.2%</t>
        </is>
      </c>
      <c r="I7" s="21" t="inlineStr">
        <is>
          <t>12.0%</t>
        </is>
      </c>
      <c r="J7" s="21" t="inlineStr">
        <is>
          <t>10.0%</t>
        </is>
      </c>
      <c r="K7" s="21" t="inlineStr">
        <is>
          <t>9.0%</t>
        </is>
      </c>
      <c r="L7" s="21" t="inlineStr">
        <is>
          <t>8.0%</t>
        </is>
      </c>
    </row>
    <row r="8" ht="15" customHeight="1"/>
    <row r="9" ht="15" customHeight="1">
      <c r="B9" s="17" t="inlineStr">
        <is>
          <t>PROFITABILITY</t>
        </is>
      </c>
    </row>
    <row r="10" ht="15" customHeight="1">
      <c r="B10" s="4" t="inlineStr">
        <is>
          <t>Gross Profit</t>
        </is>
      </c>
      <c r="C10" s="18" t="n">
        <v>3342</v>
      </c>
      <c r="D10" s="18" t="n">
        <v>3718</v>
      </c>
      <c r="E10" s="18" t="n">
        <v>4287</v>
      </c>
      <c r="F10" s="18" t="n">
        <v>4882</v>
      </c>
      <c r="G10" s="18" t="n">
        <v>5431</v>
      </c>
      <c r="H10" s="19" t="n">
        <v>7496</v>
      </c>
      <c r="I10" s="19" t="n">
        <v>8450</v>
      </c>
      <c r="J10" s="19" t="n">
        <v>9354</v>
      </c>
      <c r="K10" s="19" t="n">
        <v>10234</v>
      </c>
      <c r="L10" s="19" t="n">
        <v>11081</v>
      </c>
    </row>
    <row r="11" ht="15" customHeight="1">
      <c r="B11" s="4" t="inlineStr">
        <is>
          <t xml:space="preserve">  Gross Margin</t>
        </is>
      </c>
      <c r="C11" s="20" t="inlineStr">
        <is>
          <t>79.5%</t>
        </is>
      </c>
      <c r="D11" s="20" t="inlineStr">
        <is>
          <t>80.5%</t>
        </is>
      </c>
      <c r="E11" s="20" t="inlineStr">
        <is>
          <t>80.6%</t>
        </is>
      </c>
      <c r="F11" s="20" t="inlineStr">
        <is>
          <t>79.7%</t>
        </is>
      </c>
      <c r="G11" s="20" t="inlineStr">
        <is>
          <t>77.0%</t>
        </is>
      </c>
      <c r="H11" s="21" t="inlineStr">
        <is>
          <t>78.0%</t>
        </is>
      </c>
      <c r="I11" s="21" t="inlineStr">
        <is>
          <t>78.5%</t>
        </is>
      </c>
      <c r="J11" s="21" t="inlineStr">
        <is>
          <t>79.0%</t>
        </is>
      </c>
      <c r="K11" s="21" t="inlineStr">
        <is>
          <t>79.3%</t>
        </is>
      </c>
      <c r="L11" s="21" t="inlineStr">
        <is>
          <t>79.5%</t>
        </is>
      </c>
    </row>
    <row r="12" ht="15" customHeight="1">
      <c r="B12" s="4" t="inlineStr">
        <is>
          <t>EBIT (Adj)</t>
        </is>
      </c>
      <c r="C12" s="18" t="n">
        <v>1281</v>
      </c>
      <c r="D12" s="18" t="n">
        <v>1580</v>
      </c>
      <c r="E12" s="18" t="n">
        <v>1928</v>
      </c>
      <c r="F12" s="18" t="n">
        <v>2362</v>
      </c>
      <c r="G12" s="18" t="n">
        <v>2633</v>
      </c>
      <c r="H12" s="19" t="n">
        <v>3892</v>
      </c>
      <c r="I12" s="19" t="n">
        <v>4467</v>
      </c>
      <c r="J12" s="19" t="n">
        <v>5032</v>
      </c>
      <c r="K12" s="19" t="n">
        <v>5550</v>
      </c>
      <c r="L12" s="19" t="n">
        <v>6063</v>
      </c>
    </row>
    <row r="13" ht="15" customHeight="1">
      <c r="B13" s="4" t="inlineStr">
        <is>
          <t xml:space="preserve">  EBIT Margin</t>
        </is>
      </c>
      <c r="C13" s="20" t="inlineStr">
        <is>
          <t>30.5%</t>
        </is>
      </c>
      <c r="D13" s="20" t="inlineStr">
        <is>
          <t>34.2%</t>
        </is>
      </c>
      <c r="E13" s="20" t="inlineStr">
        <is>
          <t>36.2%</t>
        </is>
      </c>
      <c r="F13" s="20" t="inlineStr">
        <is>
          <t>38.5%</t>
        </is>
      </c>
      <c r="G13" s="20" t="inlineStr">
        <is>
          <t>37.3%</t>
        </is>
      </c>
      <c r="H13" s="21" t="inlineStr">
        <is>
          <t>40.5%</t>
        </is>
      </c>
      <c r="I13" s="21" t="inlineStr">
        <is>
          <t>41.5%</t>
        </is>
      </c>
      <c r="J13" s="21" t="inlineStr">
        <is>
          <t>42.5%</t>
        </is>
      </c>
      <c r="K13" s="21" t="inlineStr">
        <is>
          <t>43.0%</t>
        </is>
      </c>
      <c r="L13" s="21" t="inlineStr">
        <is>
          <t>43.5%</t>
        </is>
      </c>
    </row>
    <row r="14" ht="15" customHeight="1">
      <c r="B14" s="4" t="inlineStr">
        <is>
          <t>EBITDA (Adj)</t>
        </is>
      </c>
      <c r="C14" s="18" t="n">
        <v>1090</v>
      </c>
      <c r="D14" s="18" t="n">
        <v>1540</v>
      </c>
      <c r="E14" s="18" t="n">
        <v>1700</v>
      </c>
      <c r="F14" s="18" t="n">
        <v>1822</v>
      </c>
      <c r="G14" s="18" t="n">
        <v>1746</v>
      </c>
      <c r="H14" s="19" t="n">
        <v>4421</v>
      </c>
      <c r="I14" s="19" t="n">
        <v>5059</v>
      </c>
      <c r="J14" s="19" t="n">
        <v>5683</v>
      </c>
      <c r="K14" s="19" t="n">
        <v>6260</v>
      </c>
      <c r="L14" s="19" t="n">
        <v>6830</v>
      </c>
    </row>
    <row r="15" ht="15" customHeight="1">
      <c r="B15" s="4" t="inlineStr">
        <is>
          <t xml:space="preserve">  EBITDA Margin</t>
        </is>
      </c>
      <c r="C15" s="20" t="inlineStr">
        <is>
          <t>25.9%</t>
        </is>
      </c>
      <c r="D15" s="20" t="inlineStr">
        <is>
          <t>33.4%</t>
        </is>
      </c>
      <c r="E15" s="20" t="inlineStr">
        <is>
          <t>32.0%</t>
        </is>
      </c>
      <c r="F15" s="20" t="inlineStr">
        <is>
          <t>29.7%</t>
        </is>
      </c>
      <c r="G15" s="20" t="inlineStr">
        <is>
          <t>24.7%</t>
        </is>
      </c>
      <c r="H15" s="21" t="inlineStr">
        <is>
          <t>46.0%</t>
        </is>
      </c>
      <c r="I15" s="21" t="inlineStr">
        <is>
          <t>47.0%</t>
        </is>
      </c>
      <c r="J15" s="21" t="inlineStr">
        <is>
          <t>48.0%</t>
        </is>
      </c>
      <c r="K15" s="21" t="inlineStr">
        <is>
          <t>48.5%</t>
        </is>
      </c>
      <c r="L15" s="21" t="inlineStr">
        <is>
          <t>49.0%</t>
        </is>
      </c>
    </row>
    <row r="16" ht="15" customHeight="1"/>
    <row r="17" ht="15" customHeight="1">
      <c r="B17" s="17" t="inlineStr">
        <is>
          <t>EARNINGS</t>
        </is>
      </c>
    </row>
    <row r="18" ht="15" customHeight="1">
      <c r="B18" s="4" t="inlineStr">
        <is>
          <t>Net Income (Adj)</t>
        </is>
      </c>
      <c r="C18" s="18" t="n">
        <v>1077</v>
      </c>
      <c r="D18" s="18" t="n">
        <v>1393</v>
      </c>
      <c r="E18" s="18" t="n">
        <v>1636</v>
      </c>
      <c r="F18" s="18" t="n">
        <v>2058</v>
      </c>
      <c r="G18" s="18" t="n">
        <v>2138</v>
      </c>
      <c r="H18" s="19" t="n">
        <v>3367</v>
      </c>
      <c r="I18" s="19" t="n">
        <v>3864</v>
      </c>
      <c r="J18" s="19" t="n">
        <v>4353</v>
      </c>
      <c r="K18" s="19" t="n">
        <v>4801</v>
      </c>
      <c r="L18" s="19" t="n">
        <v>5244</v>
      </c>
    </row>
    <row r="19" ht="15" customHeight="1">
      <c r="B19" s="4" t="inlineStr">
        <is>
          <t>EPS (Adj) ($)</t>
        </is>
      </c>
      <c r="C19" s="22" t="n">
        <v>6.84</v>
      </c>
      <c r="D19" s="22" t="n">
        <v>8.9</v>
      </c>
      <c r="E19" s="22" t="n">
        <v>10.54</v>
      </c>
      <c r="F19" s="22" t="n">
        <v>13.2</v>
      </c>
      <c r="G19" s="22" t="n">
        <v>12.91</v>
      </c>
      <c r="H19" s="23" t="n">
        <v>17.63</v>
      </c>
      <c r="I19" s="23" t="n">
        <v>20.23</v>
      </c>
      <c r="J19" s="23" t="n">
        <v>22.79</v>
      </c>
      <c r="K19" s="23" t="n">
        <v>25.14</v>
      </c>
      <c r="L19" s="23" t="n">
        <v>27.46</v>
      </c>
    </row>
    <row r="20" ht="15" customHeight="1"/>
    <row r="21" ht="15" customHeight="1">
      <c r="B21" s="17" t="inlineStr">
        <is>
          <t>CASH FLOW</t>
        </is>
      </c>
    </row>
    <row r="22" ht="15" customHeight="1">
      <c r="B22" s="4" t="inlineStr">
        <is>
          <t>FCF (Adj)</t>
        </is>
      </c>
      <c r="C22" s="18" t="n">
        <v>1399</v>
      </c>
      <c r="D22" s="18" t="n">
        <v>1602</v>
      </c>
      <c r="E22" s="18" t="n">
        <v>1514</v>
      </c>
      <c r="F22" s="18" t="n">
        <v>1268</v>
      </c>
      <c r="G22" s="18" t="n">
        <v>1349</v>
      </c>
      <c r="H22" s="19" t="n">
        <v>3579</v>
      </c>
      <c r="I22" s="19" t="n">
        <v>4101</v>
      </c>
      <c r="J22" s="19" t="n">
        <v>4613</v>
      </c>
      <c r="K22" s="19" t="n">
        <v>5085</v>
      </c>
      <c r="L22" s="19" t="n">
        <v>5551</v>
      </c>
    </row>
    <row r="23" ht="15" customHeight="1">
      <c r="B23" s="4" t="inlineStr">
        <is>
          <t xml:space="preserve">  FCF Margin</t>
        </is>
      </c>
      <c r="C23" s="20" t="inlineStr">
        <is>
          <t>33.3%</t>
        </is>
      </c>
      <c r="D23" s="20" t="inlineStr">
        <is>
          <t>34.7%</t>
        </is>
      </c>
      <c r="E23" s="20" t="inlineStr">
        <is>
          <t>28.5%</t>
        </is>
      </c>
      <c r="F23" s="20" t="inlineStr">
        <is>
          <t>20.7%</t>
        </is>
      </c>
      <c r="G23" s="20" t="inlineStr">
        <is>
          <t>19.1%</t>
        </is>
      </c>
      <c r="H23" s="21" t="inlineStr">
        <is>
          <t>37.2%</t>
        </is>
      </c>
      <c r="I23" s="21" t="inlineStr">
        <is>
          <t>38.1%</t>
        </is>
      </c>
      <c r="J23" s="21" t="inlineStr">
        <is>
          <t>39.0%</t>
        </is>
      </c>
      <c r="K23" s="21" t="inlineStr">
        <is>
          <t>39.4%</t>
        </is>
      </c>
      <c r="L23" s="21" t="inlineStr">
        <is>
          <t>39.8%</t>
        </is>
      </c>
    </row>
    <row r="24" ht="15" customHeight="1">
      <c r="B24" s="4" t="inlineStr">
        <is>
          <t>CapEx</t>
        </is>
      </c>
      <c r="C24" s="18" t="n">
        <v>94</v>
      </c>
      <c r="D24" s="18" t="n">
        <v>137</v>
      </c>
      <c r="E24" s="18" t="n">
        <v>190</v>
      </c>
      <c r="F24" s="18" t="n">
        <v>140</v>
      </c>
      <c r="G24" s="18" t="n">
        <v>169</v>
      </c>
      <c r="H24" s="19" t="n">
        <v>317</v>
      </c>
      <c r="I24" s="19" t="n">
        <v>355</v>
      </c>
      <c r="J24" s="19" t="n">
        <v>391</v>
      </c>
      <c r="K24" s="19" t="n">
        <v>426</v>
      </c>
      <c r="L24" s="19" t="n">
        <v>460</v>
      </c>
    </row>
    <row r="25" ht="15" customHeight="1">
      <c r="B25" s="4" t="inlineStr">
        <is>
          <t xml:space="preserve">  CapEx % Revenue</t>
        </is>
      </c>
      <c r="C25" s="20" t="inlineStr">
        <is>
          <t>2.2%</t>
        </is>
      </c>
      <c r="D25" s="20" t="inlineStr">
        <is>
          <t>3.0%</t>
        </is>
      </c>
      <c r="E25" s="20" t="inlineStr">
        <is>
          <t>3.6%</t>
        </is>
      </c>
      <c r="F25" s="20" t="inlineStr">
        <is>
          <t>2.3%</t>
        </is>
      </c>
      <c r="G25" s="20" t="inlineStr">
        <is>
          <t>2.4%</t>
        </is>
      </c>
      <c r="H25" s="21" t="inlineStr">
        <is>
          <t>3.3%</t>
        </is>
      </c>
      <c r="I25" s="21" t="inlineStr">
        <is>
          <t>3.3%</t>
        </is>
      </c>
      <c r="J25" s="21" t="inlineStr">
        <is>
          <t>3.3%</t>
        </is>
      </c>
      <c r="K25" s="21" t="inlineStr">
        <is>
          <t>3.3%</t>
        </is>
      </c>
      <c r="L25" s="21" t="inlineStr">
        <is>
          <t>3.3%</t>
        </is>
      </c>
    </row>
    <row r="27">
      <c r="B27" s="11" t="inlineStr">
        <is>
          <t>Blue = Projections (Base Case) | Source: SNPS Earnings Releases; alphaspread.com WACC; Model Estimates</t>
        </is>
      </c>
    </row>
  </sheetData>
  <mergeCells count="6">
    <mergeCell ref="B27:L27"/>
    <mergeCell ref="B21:L21"/>
    <mergeCell ref="B2:L2"/>
    <mergeCell ref="B5:L5"/>
    <mergeCell ref="B17:L17"/>
    <mergeCell ref="B9:L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4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22" customHeight="1">
      <c r="B2" s="15" t="inlineStr">
        <is>
          <t>SYNOPSYS INC. (SNPS) — DISCOUNTED CASH FLOW VALUATION  (USD $M)</t>
        </is>
      </c>
    </row>
    <row r="4">
      <c r="B4" s="17" t="inlineStr">
        <is>
          <t>SECTION A: WACC BUILD-UP</t>
        </is>
      </c>
    </row>
    <row r="5" ht="15" customHeight="1">
      <c r="B5" s="4" t="inlineStr">
        <is>
          <t>Risk-Free Rate (10Y UST)</t>
        </is>
      </c>
      <c r="C5" s="24" t="n">
        <v>0.0442</v>
      </c>
      <c r="D5" s="25" t="inlineStr">
        <is>
          <t>Source: alphaspread.com; current 10Y Treasury yield</t>
        </is>
      </c>
    </row>
    <row r="6" ht="15" customHeight="1">
      <c r="B6" s="4" t="inlineStr">
        <is>
          <t>Equity Risk Premium (ERP)</t>
        </is>
      </c>
      <c r="C6" s="24" t="n">
        <v>0.0418</v>
      </c>
      <c r="D6" s="25" t="inlineStr">
        <is>
          <t>Source: alphaspread.com / Damodaran</t>
        </is>
      </c>
    </row>
    <row r="7" ht="15" customHeight="1">
      <c r="B7" s="4" t="inlineStr">
        <is>
          <t>Beta (published)</t>
        </is>
      </c>
      <c r="C7" s="24" t="n">
        <v>0.96</v>
      </c>
      <c r="D7" s="25" t="inlineStr">
        <is>
          <t>Source: alphaspread.com SNPS</t>
        </is>
      </c>
    </row>
    <row r="8" ht="15" customHeight="1">
      <c r="B8" s="4" t="inlineStr">
        <is>
          <t>Cost of Equity (Ke = Rf + β×ERP)</t>
        </is>
      </c>
      <c r="C8" s="24" t="n">
        <v>0.0843</v>
      </c>
      <c r="D8" s="25">
        <f>Rf + Beta×ERP</f>
        <v/>
      </c>
    </row>
    <row r="9" ht="15" customHeight="1">
      <c r="B9" s="4" t="inlineStr">
        <is>
          <t>Pre-Tax Cost of Debt</t>
        </is>
      </c>
      <c r="C9" s="24" t="n">
        <v>0.0509</v>
      </c>
      <c r="D9" s="25" t="inlineStr">
        <is>
          <t>Source: alphaspread.com / interest expense/debt</t>
        </is>
      </c>
    </row>
    <row r="10" ht="15" customHeight="1">
      <c r="B10" s="4" t="inlineStr">
        <is>
          <t>Tax Rate (Effective)</t>
        </is>
      </c>
      <c r="C10" s="24" t="n">
        <v>0.135</v>
      </c>
      <c r="D10" s="25" t="inlineStr">
        <is>
          <t>Blended effective rate FY2025</t>
        </is>
      </c>
    </row>
    <row r="11" ht="15" customHeight="1">
      <c r="B11" s="4" t="inlineStr">
        <is>
          <t>After-Tax Cost of Debt</t>
        </is>
      </c>
      <c r="C11" s="24" t="n">
        <v>0.044</v>
      </c>
      <c r="D11" s="25">
        <f>Pre-tax Kd × (1-T)</f>
        <v/>
      </c>
    </row>
    <row r="12" ht="15" customHeight="1">
      <c r="B12" s="4" t="inlineStr">
        <is>
          <t>Equity Weight (E/V)</t>
        </is>
      </c>
      <c r="C12" s="24" t="n">
        <v>0.906</v>
      </c>
      <c r="D12" s="25" t="inlineStr">
        <is>
          <t>Market Cap $96.3B / Total Cap $106.3B</t>
        </is>
      </c>
    </row>
    <row r="13" ht="15" customHeight="1">
      <c r="B13" s="4" t="inlineStr">
        <is>
          <t>Debt Weight (D/V)</t>
        </is>
      </c>
      <c r="C13" s="24" t="n">
        <v>0.094</v>
      </c>
      <c r="D13" s="25" t="inlineStr">
        <is>
          <t>Debt $10.0B / Total Cap $106.3B</t>
        </is>
      </c>
    </row>
    <row r="14" ht="15" customHeight="1">
      <c r="B14" s="4" t="inlineStr">
        <is>
          <t>WACC</t>
        </is>
      </c>
      <c r="C14" s="26" t="n">
        <v>0.0805</v>
      </c>
      <c r="D14" s="25">
        <f>(E/V)×Ke + (D/V)×Kd×(1-T)</f>
        <v/>
      </c>
    </row>
    <row r="16">
      <c r="B16" s="17" t="inlineStr">
        <is>
          <t>SECTION B: PROJECTED UNLEVERED FREE CASH FLOWS (Base Case)</t>
        </is>
      </c>
    </row>
    <row r="17">
      <c r="C17" s="16" t="inlineStr">
        <is>
          <t>FY2026E</t>
        </is>
      </c>
      <c r="D17" s="16" t="inlineStr">
        <is>
          <t>FY2027E</t>
        </is>
      </c>
      <c r="E17" s="16" t="inlineStr">
        <is>
          <t>FY2028E</t>
        </is>
      </c>
      <c r="F17" s="16" t="inlineStr">
        <is>
          <t>FY2029E</t>
        </is>
      </c>
      <c r="G17" s="16" t="inlineStr">
        <is>
          <t>FY2030E</t>
        </is>
      </c>
    </row>
    <row r="18" ht="15" customHeight="1">
      <c r="B18" s="4" t="inlineStr">
        <is>
          <t>Revenue ($M)</t>
        </is>
      </c>
      <c r="C18" s="27" t="n">
        <v>9610</v>
      </c>
      <c r="D18" s="27" t="n">
        <v>10764</v>
      </c>
      <c r="E18" s="27" t="n">
        <v>11840</v>
      </c>
      <c r="F18" s="27" t="n">
        <v>12906</v>
      </c>
      <c r="G18" s="27" t="n">
        <v>13938</v>
      </c>
    </row>
    <row r="19" ht="15" customHeight="1">
      <c r="B19" s="4" t="inlineStr">
        <is>
          <t>EBIT (Adj) ($M)</t>
        </is>
      </c>
      <c r="C19" s="27" t="n">
        <v>3892</v>
      </c>
      <c r="D19" s="27" t="n">
        <v>4467</v>
      </c>
      <c r="E19" s="27" t="n">
        <v>5032</v>
      </c>
      <c r="F19" s="27" t="n">
        <v>5550</v>
      </c>
      <c r="G19" s="27" t="n">
        <v>6063</v>
      </c>
    </row>
    <row r="20" ht="15" customHeight="1">
      <c r="B20" s="4" t="inlineStr">
        <is>
          <t xml:space="preserve">  × (1 - Tax Rate)</t>
        </is>
      </c>
      <c r="C20" s="27" t="n">
        <v>3367</v>
      </c>
      <c r="D20" s="27" t="n">
        <v>3864</v>
      </c>
      <c r="E20" s="27" t="n">
        <v>4353</v>
      </c>
      <c r="F20" s="27" t="n">
        <v>4801</v>
      </c>
      <c r="G20" s="27" t="n">
        <v>5244</v>
      </c>
    </row>
    <row r="21" ht="15" customHeight="1">
      <c r="B21" s="4" t="inlineStr">
        <is>
          <t>NOPAT ($M)</t>
        </is>
      </c>
      <c r="C21" s="27" t="n">
        <v>3367</v>
      </c>
      <c r="D21" s="27" t="n">
        <v>3864</v>
      </c>
      <c r="E21" s="27" t="n">
        <v>4353</v>
      </c>
      <c r="F21" s="27" t="n">
        <v>4801</v>
      </c>
      <c r="G21" s="27" t="n">
        <v>5244</v>
      </c>
    </row>
    <row r="22" ht="15" customHeight="1">
      <c r="B22" s="4" t="inlineStr">
        <is>
          <t>+ D&amp;A ($M)</t>
        </is>
      </c>
      <c r="C22" s="27" t="n">
        <v>529</v>
      </c>
      <c r="D22" s="27" t="n">
        <v>592</v>
      </c>
      <c r="E22" s="27" t="n">
        <v>651</v>
      </c>
      <c r="F22" s="27" t="n">
        <v>710</v>
      </c>
      <c r="G22" s="27" t="n">
        <v>767</v>
      </c>
    </row>
    <row r="23" ht="15" customHeight="1">
      <c r="B23" s="4" t="inlineStr">
        <is>
          <t>- CapEx ($M)</t>
        </is>
      </c>
      <c r="C23" s="27" t="n">
        <v>-317</v>
      </c>
      <c r="D23" s="27" t="n">
        <v>-355</v>
      </c>
      <c r="E23" s="27" t="n">
        <v>-391</v>
      </c>
      <c r="F23" s="27" t="n">
        <v>-426</v>
      </c>
      <c r="G23" s="27" t="n">
        <v>-460</v>
      </c>
    </row>
    <row r="24" ht="15" customHeight="1">
      <c r="B24" s="4" t="inlineStr">
        <is>
          <t>- Change in NWC ($M)</t>
        </is>
      </c>
      <c r="C24" s="27" t="n">
        <v>-38</v>
      </c>
      <c r="D24" s="27" t="n">
        <v>-17</v>
      </c>
      <c r="E24" s="27" t="n">
        <v>-16</v>
      </c>
      <c r="F24" s="27" t="n">
        <v>-16</v>
      </c>
      <c r="G24" s="27" t="n">
        <v>-15</v>
      </c>
    </row>
    <row r="25" ht="15" customHeight="1">
      <c r="B25" s="4">
        <f> Unlevered FCF ($M)</f>
        <v/>
      </c>
      <c r="C25" s="28" t="n">
        <v>3541</v>
      </c>
      <c r="D25" s="28" t="n">
        <v>4084</v>
      </c>
      <c r="E25" s="28" t="n">
        <v>4597</v>
      </c>
      <c r="F25" s="28" t="n">
        <v>5069</v>
      </c>
      <c r="G25" s="28" t="n">
        <v>5536</v>
      </c>
    </row>
    <row r="26" ht="15" customHeight="1">
      <c r="B26" s="4" t="inlineStr">
        <is>
          <t>Discount Factor (WACC=8.05%)</t>
        </is>
      </c>
      <c r="C26" s="29" t="n">
        <v>0.9255</v>
      </c>
      <c r="D26" s="29" t="n">
        <v>0.8565</v>
      </c>
      <c r="E26" s="29" t="n">
        <v>0.7927</v>
      </c>
      <c r="F26" s="29" t="n">
        <v>0.7337</v>
      </c>
      <c r="G26" s="29" t="n">
        <v>0.679</v>
      </c>
    </row>
    <row r="27" ht="15" customHeight="1">
      <c r="B27" s="4" t="inlineStr">
        <is>
          <t>PV of FCF ($M)</t>
        </is>
      </c>
      <c r="C27" s="28" t="n">
        <v>3277</v>
      </c>
      <c r="D27" s="28" t="n">
        <v>3498</v>
      </c>
      <c r="E27" s="28" t="n">
        <v>3644</v>
      </c>
      <c r="F27" s="28" t="n">
        <v>3719</v>
      </c>
      <c r="G27" s="28" t="n">
        <v>3759</v>
      </c>
    </row>
    <row r="29">
      <c r="B29" s="17" t="inlineStr">
        <is>
          <t>SECTION C: TERMINAL VALUE &amp; ENTERPRISE-TO-EQUITY BRIDGE</t>
        </is>
      </c>
    </row>
    <row r="30" ht="15" customHeight="1">
      <c r="B30" s="4" t="inlineStr">
        <is>
          <t>Terminal Growth Rate (g)</t>
        </is>
      </c>
      <c r="C30" s="30" t="inlineStr">
        <is>
          <t>3.0%</t>
        </is>
      </c>
      <c r="D30" s="31" t="inlineStr">
        <is>
          <t xml:space="preserve">  Input assumption</t>
        </is>
      </c>
    </row>
    <row r="31" ht="15" customHeight="1">
      <c r="B31" s="4" t="inlineStr">
        <is>
          <t>Terminal Year UFCF ($M)</t>
        </is>
      </c>
      <c r="C31" s="32" t="inlineStr">
        <is>
          <t>$5,536</t>
        </is>
      </c>
      <c r="D31" s="31" t="inlineStr">
        <is>
          <t xml:space="preserve">  Final projected year FCF</t>
        </is>
      </c>
    </row>
    <row r="32" ht="15" customHeight="1">
      <c r="B32" s="4" t="inlineStr">
        <is>
          <t>Terminal Value ($M) [Perp. Growth]</t>
        </is>
      </c>
      <c r="C32" s="32" t="inlineStr">
        <is>
          <t>$112,912</t>
        </is>
      </c>
      <c r="D32" s="31" t="inlineStr">
        <is>
          <t xml:space="preserve">  = UFCF×(1+g)/(WACC−g)</t>
        </is>
      </c>
    </row>
    <row r="33" ht="15" customHeight="1">
      <c r="B33" s="4" t="inlineStr">
        <is>
          <t>PV of Terminal Value ($M)</t>
        </is>
      </c>
      <c r="C33" s="32" t="inlineStr">
        <is>
          <t>$76,669</t>
        </is>
      </c>
      <c r="D33" s="31" t="inlineStr">
        <is>
          <t xml:space="preserve">  = TV / (1+WACC)^5</t>
        </is>
      </c>
    </row>
    <row r="34" ht="15" customHeight="1">
      <c r="B34" s="4" t="inlineStr">
        <is>
          <t>TV as % of Total EV</t>
        </is>
      </c>
      <c r="C34" s="33" t="inlineStr">
        <is>
          <t>81.1%</t>
        </is>
      </c>
      <c r="D34" s="31" t="inlineStr">
        <is>
          <t xml:space="preserve">  ⚠ Note: &gt;75% typical for high-growth software; comps anchor recommended</t>
        </is>
      </c>
    </row>
    <row r="35" ht="15" customHeight="1">
      <c r="B35" s="4" t="inlineStr"/>
      <c r="C35" s="32" t="inlineStr"/>
    </row>
    <row r="36" ht="15" customHeight="1">
      <c r="B36" s="4" t="inlineStr">
        <is>
          <t>PV of FCFs (5-Year Sum)</t>
        </is>
      </c>
      <c r="C36" s="32" t="inlineStr">
        <is>
          <t>$17,897</t>
        </is>
      </c>
    </row>
    <row r="37" ht="15" customHeight="1">
      <c r="B37" s="4" t="inlineStr">
        <is>
          <t>+ PV of Terminal Value</t>
        </is>
      </c>
      <c r="C37" s="32" t="inlineStr">
        <is>
          <t>$76,669</t>
        </is>
      </c>
    </row>
    <row r="38" ht="15" customHeight="1">
      <c r="B38" s="4">
        <f> Enterprise Value ($M)</f>
        <v/>
      </c>
      <c r="C38" s="34" t="inlineStr">
        <is>
          <t>$94,566</t>
        </is>
      </c>
    </row>
    <row r="39" ht="15" customHeight="1">
      <c r="B39" s="4" t="inlineStr">
        <is>
          <t>− Net Debt ($M)</t>
        </is>
      </c>
      <c r="C39" s="32" t="inlineStr">
        <is>
          <t>$7,800</t>
        </is>
      </c>
      <c r="D39" s="31" t="inlineStr">
        <is>
          <t xml:space="preserve">  Debt $10.0B − Cash $2.2B</t>
        </is>
      </c>
    </row>
    <row r="40" ht="15" customHeight="1">
      <c r="B40" s="4">
        <f> Equity Value ($M)</f>
        <v/>
      </c>
      <c r="C40" s="32" t="inlineStr">
        <is>
          <t>$86,766</t>
        </is>
      </c>
    </row>
    <row r="41" ht="15" customHeight="1">
      <c r="B41" s="4" t="inlineStr">
        <is>
          <t>÷ Diluted Shares Outstanding (M)</t>
        </is>
      </c>
      <c r="C41" s="32" t="inlineStr">
        <is>
          <t>191</t>
        </is>
      </c>
    </row>
    <row r="42" ht="15" customHeight="1">
      <c r="B42" s="4">
        <f> Implied Price / Share (Base)</f>
        <v/>
      </c>
      <c r="C42" s="35" t="inlineStr">
        <is>
          <t>$454.27</t>
        </is>
      </c>
    </row>
    <row r="43" ht="15" customHeight="1">
      <c r="B43" s="4" t="inlineStr">
        <is>
          <t>Current Price</t>
        </is>
      </c>
      <c r="C43" s="32" t="inlineStr">
        <is>
          <t>$503.98</t>
        </is>
      </c>
      <c r="D43" s="31" t="inlineStr">
        <is>
          <t xml:space="preserve">  As of May 21, 2026</t>
        </is>
      </c>
    </row>
    <row r="44" ht="15" customHeight="1">
      <c r="B44" s="4" t="inlineStr">
        <is>
          <t>Upside / (Downside) — DCF Base</t>
        </is>
      </c>
      <c r="C44" s="32" t="inlineStr">
        <is>
          <t>-9.9%</t>
        </is>
      </c>
    </row>
  </sheetData>
  <mergeCells count="21">
    <mergeCell ref="B4:F4"/>
    <mergeCell ref="D34:H34"/>
    <mergeCell ref="D10:H10"/>
    <mergeCell ref="D31:H31"/>
    <mergeCell ref="D6:H6"/>
    <mergeCell ref="D11:H11"/>
    <mergeCell ref="D13:H13"/>
    <mergeCell ref="D32:H32"/>
    <mergeCell ref="B16:K16"/>
    <mergeCell ref="D7:H7"/>
    <mergeCell ref="D43:H43"/>
    <mergeCell ref="B2:K2"/>
    <mergeCell ref="D9:H9"/>
    <mergeCell ref="D12:H12"/>
    <mergeCell ref="D30:H30"/>
    <mergeCell ref="D8:H8"/>
    <mergeCell ref="D39:H39"/>
    <mergeCell ref="D33:H33"/>
    <mergeCell ref="D5:H5"/>
    <mergeCell ref="B29:K29"/>
    <mergeCell ref="D14:H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35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2" customHeight="1">
      <c r="B2" s="15" t="inlineStr">
        <is>
          <t>SYNOPSYS INC. — SENSITIVITY ANALYSIS  (Implied Share Price, USD)</t>
        </is>
      </c>
    </row>
    <row r="4">
      <c r="B4" s="17" t="inlineStr">
        <is>
          <t>TABLE 1: WACC vs. Terminal Growth Rate → Implied Share Price</t>
        </is>
      </c>
    </row>
    <row r="5" ht="28" customHeight="1">
      <c r="B5" s="36" t="inlineStr">
        <is>
          <t>WACC  ↓  |  Terminal Growth Rate →</t>
        </is>
      </c>
      <c r="C5" s="37" t="inlineStr">
        <is>
          <t>2.0%</t>
        </is>
      </c>
      <c r="D5" s="37" t="inlineStr">
        <is>
          <t>2.5%</t>
        </is>
      </c>
      <c r="E5" s="37" t="inlineStr">
        <is>
          <t>3.0%</t>
        </is>
      </c>
      <c r="F5" s="37" t="inlineStr">
        <is>
          <t>3.5%</t>
        </is>
      </c>
      <c r="G5" s="37" t="inlineStr">
        <is>
          <t>4.0%</t>
        </is>
      </c>
    </row>
    <row r="6" ht="15" customHeight="1">
      <c r="B6" s="38" t="inlineStr">
        <is>
          <t>7.0%</t>
        </is>
      </c>
      <c r="C6" s="39" t="n">
        <v>477</v>
      </c>
      <c r="D6" s="39" t="n">
        <v>526</v>
      </c>
      <c r="E6" s="39" t="n">
        <v>588</v>
      </c>
      <c r="F6" s="39" t="n">
        <v>667</v>
      </c>
      <c r="G6" s="39" t="n">
        <v>772</v>
      </c>
    </row>
    <row r="7" ht="15" customHeight="1">
      <c r="B7" s="38" t="inlineStr">
        <is>
          <t>7.5%</t>
        </is>
      </c>
      <c r="C7" s="39" t="n">
        <v>429</v>
      </c>
      <c r="D7" s="39" t="n">
        <v>468</v>
      </c>
      <c r="E7" s="39" t="n">
        <v>516</v>
      </c>
      <c r="F7" s="39" t="n">
        <v>577</v>
      </c>
      <c r="G7" s="39" t="n">
        <v>654</v>
      </c>
    </row>
    <row r="8" ht="15" customHeight="1">
      <c r="B8" s="38" t="inlineStr">
        <is>
          <t>8.0%</t>
        </is>
      </c>
      <c r="C8" s="39" t="n">
        <v>388</v>
      </c>
      <c r="D8" s="39" t="n">
        <v>420</v>
      </c>
      <c r="E8" s="40" t="n">
        <v>459</v>
      </c>
      <c r="F8" s="39" t="n">
        <v>507</v>
      </c>
      <c r="G8" s="39" t="n">
        <v>566</v>
      </c>
    </row>
    <row r="9" ht="15" customHeight="1">
      <c r="B9" s="38" t="inlineStr">
        <is>
          <t>8.5%</t>
        </is>
      </c>
      <c r="C9" s="39" t="n">
        <v>354</v>
      </c>
      <c r="D9" s="39" t="n">
        <v>381</v>
      </c>
      <c r="E9" s="39" t="n">
        <v>413</v>
      </c>
      <c r="F9" s="39" t="n">
        <v>451</v>
      </c>
      <c r="G9" s="39" t="n">
        <v>497</v>
      </c>
    </row>
    <row r="10" ht="15" customHeight="1">
      <c r="B10" s="38" t="inlineStr">
        <is>
          <t>9.0%</t>
        </is>
      </c>
      <c r="C10" s="39" t="n">
        <v>325</v>
      </c>
      <c r="D10" s="39" t="n">
        <v>347</v>
      </c>
      <c r="E10" s="39" t="n">
        <v>374</v>
      </c>
      <c r="F10" s="39" t="n">
        <v>405</v>
      </c>
      <c r="G10" s="39" t="n">
        <v>442</v>
      </c>
    </row>
    <row r="13">
      <c r="B13" s="17" t="inlineStr">
        <is>
          <t>TABLE 2: FY2026 Revenue Growth vs EBIT Margin → Implied Share Price</t>
        </is>
      </c>
    </row>
    <row r="14" ht="28" customHeight="1">
      <c r="B14" s="36" t="inlineStr">
        <is>
          <t>FY26 Rev Growth  ↓  |  EBIT Margin →</t>
        </is>
      </c>
      <c r="C14" s="37" t="inlineStr">
        <is>
          <t>38.0%</t>
        </is>
      </c>
      <c r="D14" s="37" t="inlineStr">
        <is>
          <t>39.5%</t>
        </is>
      </c>
      <c r="E14" s="37" t="inlineStr">
        <is>
          <t>41.0%</t>
        </is>
      </c>
      <c r="F14" s="37" t="inlineStr">
        <is>
          <t>42.5%</t>
        </is>
      </c>
      <c r="G14" s="37" t="inlineStr">
        <is>
          <t>44.0%</t>
        </is>
      </c>
    </row>
    <row r="15" ht="15" customHeight="1">
      <c r="B15" s="38" t="inlineStr">
        <is>
          <t>33.0%</t>
        </is>
      </c>
      <c r="C15" s="39" t="n">
        <v>387</v>
      </c>
      <c r="D15" s="39" t="n">
        <v>403</v>
      </c>
      <c r="E15" s="39" t="n">
        <v>419</v>
      </c>
      <c r="F15" s="39" t="n">
        <v>435</v>
      </c>
      <c r="G15" s="39" t="n">
        <v>450</v>
      </c>
    </row>
    <row r="16" ht="15" customHeight="1">
      <c r="B16" s="38" t="inlineStr">
        <is>
          <t>34.5%</t>
        </is>
      </c>
      <c r="C16" s="39" t="n">
        <v>392</v>
      </c>
      <c r="D16" s="39" t="n">
        <v>408</v>
      </c>
      <c r="E16" s="39" t="n">
        <v>424</v>
      </c>
      <c r="F16" s="39" t="n">
        <v>440</v>
      </c>
      <c r="G16" s="39" t="n">
        <v>456</v>
      </c>
    </row>
    <row r="17" ht="15" customHeight="1">
      <c r="B17" s="38" t="inlineStr">
        <is>
          <t>36.2%</t>
        </is>
      </c>
      <c r="C17" s="39" t="n">
        <v>397</v>
      </c>
      <c r="D17" s="39" t="n">
        <v>413</v>
      </c>
      <c r="E17" s="40" t="n">
        <v>430</v>
      </c>
      <c r="F17" s="39" t="n">
        <v>446</v>
      </c>
      <c r="G17" s="39" t="n">
        <v>462</v>
      </c>
    </row>
    <row r="18" ht="15" customHeight="1">
      <c r="B18" s="38" t="inlineStr">
        <is>
          <t>37.5%</t>
        </is>
      </c>
      <c r="C18" s="39" t="n">
        <v>401</v>
      </c>
      <c r="D18" s="39" t="n">
        <v>418</v>
      </c>
      <c r="E18" s="39" t="n">
        <v>434</v>
      </c>
      <c r="F18" s="39" t="n">
        <v>451</v>
      </c>
      <c r="G18" s="39" t="n">
        <v>467</v>
      </c>
    </row>
    <row r="19" ht="15" customHeight="1">
      <c r="B19" s="38" t="inlineStr">
        <is>
          <t>39.0%</t>
        </is>
      </c>
      <c r="C19" s="39" t="n">
        <v>406</v>
      </c>
      <c r="D19" s="39" t="n">
        <v>423</v>
      </c>
      <c r="E19" s="39" t="n">
        <v>439</v>
      </c>
      <c r="F19" s="39" t="n">
        <v>456</v>
      </c>
      <c r="G19" s="39" t="n">
        <v>473</v>
      </c>
    </row>
    <row r="22">
      <c r="B22" s="17" t="inlineStr">
        <is>
          <t>TABLE 3: BULL / BASE / BEAR SCENARIO COMPARISON</t>
        </is>
      </c>
    </row>
    <row r="23">
      <c r="B23" s="8" t="inlineStr">
        <is>
          <t>Metric</t>
        </is>
      </c>
      <c r="C23" s="8" t="inlineStr">
        <is>
          <t>Bear Case</t>
        </is>
      </c>
      <c r="D23" s="8" t="inlineStr">
        <is>
          <t>Base Case</t>
        </is>
      </c>
      <c r="E23" s="8" t="inlineStr">
        <is>
          <t>Bull Case</t>
        </is>
      </c>
    </row>
    <row r="24" ht="15" customHeight="1">
      <c r="B24" s="4" t="inlineStr">
        <is>
          <t>FY2026E Revenue ($M)</t>
        </is>
      </c>
      <c r="C24" s="41" t="inlineStr">
        <is>
          <t>9,561</t>
        </is>
      </c>
      <c r="D24" s="41" t="inlineStr">
        <is>
          <t>9,610</t>
        </is>
      </c>
      <c r="E24" s="41" t="inlineStr">
        <is>
          <t>9,627</t>
        </is>
      </c>
    </row>
    <row r="25" ht="15" customHeight="1">
      <c r="B25" s="4" t="inlineStr">
        <is>
          <t>FY2026E EBIT Margin</t>
        </is>
      </c>
      <c r="C25" s="41" t="inlineStr">
        <is>
          <t>39.5%</t>
        </is>
      </c>
      <c r="D25" s="41" t="inlineStr">
        <is>
          <t>40.5%</t>
        </is>
      </c>
      <c r="E25" s="41" t="inlineStr">
        <is>
          <t>41.0%</t>
        </is>
      </c>
    </row>
    <row r="26" ht="15" customHeight="1">
      <c r="B26" s="4" t="inlineStr">
        <is>
          <t>FY2026E UFCF ($M)</t>
        </is>
      </c>
      <c r="C26" s="41" t="inlineStr">
        <is>
          <t>3,439</t>
        </is>
      </c>
      <c r="D26" s="41" t="inlineStr">
        <is>
          <t>3,539</t>
        </is>
      </c>
      <c r="E26" s="41" t="inlineStr">
        <is>
          <t>3,588</t>
        </is>
      </c>
    </row>
    <row r="27" ht="15" customHeight="1">
      <c r="B27" s="4" t="inlineStr">
        <is>
          <t>5Y Revenue CAGR (FY25-FY30)</t>
        </is>
      </c>
      <c r="C27" s="41" t="inlineStr">
        <is>
          <t>12.0%</t>
        </is>
      </c>
      <c r="D27" s="41" t="inlineStr">
        <is>
          <t>14.6%</t>
        </is>
      </c>
      <c r="E27" s="41" t="inlineStr">
        <is>
          <t>16.7%</t>
        </is>
      </c>
    </row>
    <row r="28" ht="15" customHeight="1">
      <c r="B28" s="4" t="inlineStr">
        <is>
          <t>Terminal EBIT Margin</t>
        </is>
      </c>
      <c r="C28" s="41" t="inlineStr">
        <is>
          <t>41.0%</t>
        </is>
      </c>
      <c r="D28" s="41" t="inlineStr">
        <is>
          <t>43.5%</t>
        </is>
      </c>
      <c r="E28" s="41" t="inlineStr">
        <is>
          <t>45.5%</t>
        </is>
      </c>
    </row>
    <row r="29" ht="15" customHeight="1">
      <c r="B29" s="4" t="inlineStr">
        <is>
          <t>DCF Implied Price</t>
        </is>
      </c>
      <c r="C29" s="38" t="inlineStr">
        <is>
          <t>$382</t>
        </is>
      </c>
      <c r="D29" s="38" t="inlineStr">
        <is>
          <t>$454</t>
        </is>
      </c>
      <c r="E29" s="38" t="inlineStr">
        <is>
          <t>$520</t>
        </is>
      </c>
    </row>
    <row r="30" ht="15" customHeight="1">
      <c r="B30" s="4" t="inlineStr">
        <is>
          <t>Comps P/E Implied (50x NTM)</t>
        </is>
      </c>
      <c r="C30" s="41" t="inlineStr">
        <is>
          <t>$647E</t>
        </is>
      </c>
      <c r="D30" s="41" t="inlineStr">
        <is>
          <t>$719</t>
        </is>
      </c>
      <c r="E30" s="41" t="inlineStr">
        <is>
          <t>$791E</t>
        </is>
      </c>
    </row>
    <row r="31" ht="15" customHeight="1">
      <c r="B31" s="4" t="inlineStr">
        <is>
          <t>Blended PT (50/50)</t>
        </is>
      </c>
      <c r="C31" s="42" t="inlineStr">
        <is>
          <t>$515E</t>
        </is>
      </c>
      <c r="D31" s="43" t="inlineStr">
        <is>
          <t>$585</t>
        </is>
      </c>
      <c r="E31" s="44" t="inlineStr">
        <is>
          <t>$655E</t>
        </is>
      </c>
    </row>
    <row r="32" ht="15" customHeight="1">
      <c r="B32" s="4" t="inlineStr">
        <is>
          <t>Upside vs. $503.98</t>
        </is>
      </c>
      <c r="C32" s="38" t="inlineStr">
        <is>
          <t>+2.2%</t>
        </is>
      </c>
      <c r="D32" s="38" t="inlineStr">
        <is>
          <t>+16.1%</t>
        </is>
      </c>
      <c r="E32" s="38" t="inlineStr">
        <is>
          <t>+30.0%</t>
        </is>
      </c>
    </row>
    <row r="33" ht="15" customHeight="1">
      <c r="B33" s="4" t="inlineStr">
        <is>
          <t>Rating</t>
        </is>
      </c>
      <c r="C33" s="42" t="inlineStr">
        <is>
          <t>HOLD</t>
        </is>
      </c>
      <c r="D33" s="43" t="inlineStr">
        <is>
          <t>BUY</t>
        </is>
      </c>
      <c r="E33" s="44" t="inlineStr">
        <is>
          <t>BUY+</t>
        </is>
      </c>
    </row>
    <row r="35">
      <c r="B35" s="45" t="inlineStr">
        <is>
          <t>⚠ TV &gt; 75% of EV in all scenarios — typical for high-growth software; cross-check with comps multiples essential. Yellow = base case.</t>
        </is>
      </c>
    </row>
  </sheetData>
  <mergeCells count="5">
    <mergeCell ref="B22:J22"/>
    <mergeCell ref="B4:J4"/>
    <mergeCell ref="B2:K2"/>
    <mergeCell ref="B13:J13"/>
    <mergeCell ref="B35:I35"/>
  </mergeCells>
  <conditionalFormatting sqref="C6:G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5:G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27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2" ht="22" customHeight="1">
      <c r="B2" s="15" t="inlineStr">
        <is>
          <t>COMPARABLE COMPANIES ANALYSIS — EDA &amp; Engineering Software</t>
        </is>
      </c>
    </row>
    <row r="4" ht="30" customHeight="1">
      <c r="B4" s="8" t="inlineStr">
        <is>
          <t>Company</t>
        </is>
      </c>
      <c r="C4" s="8" t="inlineStr">
        <is>
          <t>Ticker</t>
        </is>
      </c>
      <c r="D4" s="8" t="inlineStr">
        <is>
          <t>Mkt Cap ($B)</t>
        </is>
      </c>
      <c r="E4" s="8" t="inlineStr">
        <is>
          <t>EV/Rev (NTM)</t>
        </is>
      </c>
      <c r="F4" s="8" t="inlineStr">
        <is>
          <t>EV/EBITDA (NTM)</t>
        </is>
      </c>
      <c r="G4" s="8" t="inlineStr">
        <is>
          <t>P/E (NTM)</t>
        </is>
      </c>
      <c r="H4" s="8" t="inlineStr">
        <is>
          <t>NTM Rev Growth</t>
        </is>
      </c>
      <c r="I4" s="8" t="inlineStr">
        <is>
          <t>NTM EBIT Mgn</t>
        </is>
      </c>
      <c r="J4" s="8" t="inlineStr">
        <is>
          <t>Gross Margin</t>
        </is>
      </c>
      <c r="K4" s="8" t="inlineStr">
        <is>
          <t>FCF Margin</t>
        </is>
      </c>
      <c r="L4" s="8" t="inlineStr">
        <is>
          <t>Notes</t>
        </is>
      </c>
    </row>
    <row r="5" ht="15" customHeight="1">
      <c r="B5" s="46" t="inlineStr">
        <is>
          <t>Cadence Design Sys.</t>
        </is>
      </c>
      <c r="C5" s="46" t="inlineStr">
        <is>
          <t>CDNS</t>
        </is>
      </c>
      <c r="D5" s="47" t="inlineStr">
        <is>
          <t>75.0</t>
        </is>
      </c>
      <c r="E5" s="47" t="inlineStr">
        <is>
          <t>14.5x</t>
        </is>
      </c>
      <c r="F5" s="47" t="inlineStr">
        <is>
          <t>38.0x</t>
        </is>
      </c>
      <c r="G5" s="47" t="inlineStr">
        <is>
          <t>54.0x</t>
        </is>
      </c>
      <c r="H5" s="47" t="inlineStr">
        <is>
          <t>14%</t>
        </is>
      </c>
      <c r="I5" s="47" t="inlineStr">
        <is>
          <t>38%</t>
        </is>
      </c>
      <c r="J5" s="47" t="inlineStr">
        <is>
          <t>87%</t>
        </is>
      </c>
      <c r="K5" s="47" t="inlineStr">
        <is>
          <t>35%</t>
        </is>
      </c>
      <c r="L5" s="47" t="inlineStr">
        <is>
          <t>Closest peer — EDA duopoly</t>
        </is>
      </c>
    </row>
    <row r="6" ht="15" customHeight="1">
      <c r="B6" s="48" t="inlineStr">
        <is>
          <t>Siemens EDA</t>
        </is>
      </c>
      <c r="C6" s="48" t="inlineStr">
        <is>
          <t>SIE.DE</t>
        </is>
      </c>
      <c r="D6" s="41" t="inlineStr">
        <is>
          <t>130.0</t>
        </is>
      </c>
      <c r="E6" s="41" t="inlineStr">
        <is>
          <t>3.0x</t>
        </is>
      </c>
      <c r="F6" s="41" t="inlineStr">
        <is>
          <t>16.0x</t>
        </is>
      </c>
      <c r="G6" s="41" t="inlineStr">
        <is>
          <t>22.0x</t>
        </is>
      </c>
      <c r="H6" s="41" t="inlineStr">
        <is>
          <t>5%</t>
        </is>
      </c>
      <c r="I6" s="41" t="inlineStr">
        <is>
          <t>20%</t>
        </is>
      </c>
      <c r="J6" s="41" t="inlineStr">
        <is>
          <t>68%</t>
        </is>
      </c>
      <c r="K6" s="41" t="inlineStr">
        <is>
          <t>18%</t>
        </is>
      </c>
      <c r="L6" s="41" t="inlineStr">
        <is>
          <t>Ind. software; lower pure-EDA</t>
        </is>
      </c>
    </row>
    <row r="7" ht="15" customHeight="1">
      <c r="B7" s="46" t="inlineStr">
        <is>
          <t>Autodesk</t>
        </is>
      </c>
      <c r="C7" s="46" t="inlineStr">
        <is>
          <t>ADSK</t>
        </is>
      </c>
      <c r="D7" s="47" t="inlineStr">
        <is>
          <t>63.0</t>
        </is>
      </c>
      <c r="E7" s="47" t="inlineStr">
        <is>
          <t>11.0x</t>
        </is>
      </c>
      <c r="F7" s="47" t="inlineStr">
        <is>
          <t>35.0x</t>
        </is>
      </c>
      <c r="G7" s="47" t="inlineStr">
        <is>
          <t>44.0x</t>
        </is>
      </c>
      <c r="H7" s="47" t="inlineStr">
        <is>
          <t>10%</t>
        </is>
      </c>
      <c r="I7" s="47" t="inlineStr">
        <is>
          <t>35%</t>
        </is>
      </c>
      <c r="J7" s="47" t="inlineStr">
        <is>
          <t>88%</t>
        </is>
      </c>
      <c r="K7" s="47" t="inlineStr">
        <is>
          <t>38%</t>
        </is>
      </c>
      <c r="L7" s="47" t="inlineStr">
        <is>
          <t>Design software; recurring SaaS</t>
        </is>
      </c>
    </row>
    <row r="8" ht="15" customHeight="1">
      <c r="B8" s="48" t="inlineStr">
        <is>
          <t>Workday</t>
        </is>
      </c>
      <c r="C8" s="48" t="inlineStr">
        <is>
          <t>WDAY</t>
        </is>
      </c>
      <c r="D8" s="41" t="inlineStr">
        <is>
          <t>54.0</t>
        </is>
      </c>
      <c r="E8" s="41" t="inlineStr">
        <is>
          <t>8.5x</t>
        </is>
      </c>
      <c r="F8" s="41" t="inlineStr">
        <is>
          <t>25.0x</t>
        </is>
      </c>
      <c r="G8" s="41" t="inlineStr">
        <is>
          <t>35.0x</t>
        </is>
      </c>
      <c r="H8" s="41" t="inlineStr">
        <is>
          <t>16%</t>
        </is>
      </c>
      <c r="I8" s="41" t="inlineStr">
        <is>
          <t>24%</t>
        </is>
      </c>
      <c r="J8" s="41" t="inlineStr">
        <is>
          <t>75%</t>
        </is>
      </c>
      <c r="K8" s="41" t="inlineStr">
        <is>
          <t>28%</t>
        </is>
      </c>
      <c r="L8" s="41" t="inlineStr">
        <is>
          <t>Enterprise SaaS; HR/Finance</t>
        </is>
      </c>
    </row>
    <row r="9" ht="15" customHeight="1">
      <c r="B9" s="46" t="inlineStr">
        <is>
          <t>PTC Inc.</t>
        </is>
      </c>
      <c r="C9" s="46" t="inlineStr">
        <is>
          <t>PTC</t>
        </is>
      </c>
      <c r="D9" s="47" t="inlineStr">
        <is>
          <t>24.0</t>
        </is>
      </c>
      <c r="E9" s="47" t="inlineStr">
        <is>
          <t>9.0x</t>
        </is>
      </c>
      <c r="F9" s="47" t="inlineStr">
        <is>
          <t>28.0x</t>
        </is>
      </c>
      <c r="G9" s="47" t="inlineStr">
        <is>
          <t>38.0x</t>
        </is>
      </c>
      <c r="H9" s="47" t="inlineStr">
        <is>
          <t>12%</t>
        </is>
      </c>
      <c r="I9" s="47" t="inlineStr">
        <is>
          <t>32%</t>
        </is>
      </c>
      <c r="J9" s="47" t="inlineStr">
        <is>
          <t>80%</t>
        </is>
      </c>
      <c r="K9" s="47" t="inlineStr">
        <is>
          <t>30%</t>
        </is>
      </c>
      <c r="L9" s="47" t="inlineStr">
        <is>
          <t>PLM/engineering software</t>
        </is>
      </c>
    </row>
    <row r="10" ht="15" customHeight="1">
      <c r="B10" s="48" t="inlineStr">
        <is>
          <t>ANSYS (pre-merger ref)</t>
        </is>
      </c>
      <c r="C10" s="48" t="inlineStr">
        <is>
          <t>ANSS</t>
        </is>
      </c>
      <c r="D10" s="41" t="inlineStr">
        <is>
          <t>N/A</t>
        </is>
      </c>
      <c r="E10" s="41" t="inlineStr">
        <is>
          <t>14.0x</t>
        </is>
      </c>
      <c r="F10" s="41" t="inlineStr">
        <is>
          <t>38.0x</t>
        </is>
      </c>
      <c r="G10" s="41" t="inlineStr">
        <is>
          <t>50.0x</t>
        </is>
      </c>
      <c r="H10" s="41" t="inlineStr">
        <is>
          <t>13%</t>
        </is>
      </c>
      <c r="I10" s="41" t="inlineStr">
        <is>
          <t>36%</t>
        </is>
      </c>
      <c r="J10" s="41" t="inlineStr">
        <is>
          <t>85%</t>
        </is>
      </c>
      <c r="K10" s="41" t="inlineStr">
        <is>
          <t>32%</t>
        </is>
      </c>
      <c r="L10" s="41" t="inlineStr">
        <is>
          <t>Acquired by SNPS; ref only</t>
        </is>
      </c>
    </row>
    <row r="11" ht="15" customHeight="1">
      <c r="B11" s="46" t="inlineStr">
        <is>
          <t>Keysight Technologies</t>
        </is>
      </c>
      <c r="C11" s="46" t="inlineStr">
        <is>
          <t>KEYS</t>
        </is>
      </c>
      <c r="D11" s="47" t="inlineStr">
        <is>
          <t>21.0</t>
        </is>
      </c>
      <c r="E11" s="47" t="inlineStr">
        <is>
          <t>4.5x</t>
        </is>
      </c>
      <c r="F11" s="47" t="inlineStr">
        <is>
          <t>18.0x</t>
        </is>
      </c>
      <c r="G11" s="47" t="inlineStr">
        <is>
          <t>26.0x</t>
        </is>
      </c>
      <c r="H11" s="47" t="inlineStr">
        <is>
          <t>4%</t>
        </is>
      </c>
      <c r="I11" s="47" t="inlineStr">
        <is>
          <t>22%</t>
        </is>
      </c>
      <c r="J11" s="47" t="inlineStr">
        <is>
          <t>60%</t>
        </is>
      </c>
      <c r="K11" s="47" t="inlineStr">
        <is>
          <t>20%</t>
        </is>
      </c>
      <c r="L11" s="47" t="inlineStr">
        <is>
          <t>EDA adjacent; testing</t>
        </is>
      </c>
    </row>
    <row r="12" ht="15" customHeight="1">
      <c r="B12" s="48" t="inlineStr">
        <is>
          <t>PDF Solutions</t>
        </is>
      </c>
      <c r="C12" s="48" t="inlineStr">
        <is>
          <t>PDFS</t>
        </is>
      </c>
      <c r="D12" s="41" t="inlineStr">
        <is>
          <t>1.2</t>
        </is>
      </c>
      <c r="E12" s="41" t="inlineStr">
        <is>
          <t>5.5x</t>
        </is>
      </c>
      <c r="F12" s="41" t="inlineStr">
        <is>
          <t>NM</t>
        </is>
      </c>
      <c r="G12" s="41" t="inlineStr">
        <is>
          <t>60.0x</t>
        </is>
      </c>
      <c r="H12" s="41" t="inlineStr">
        <is>
          <t>12%</t>
        </is>
      </c>
      <c r="I12" s="41" t="inlineStr">
        <is>
          <t>10%</t>
        </is>
      </c>
      <c r="J12" s="41" t="inlineStr">
        <is>
          <t>55%</t>
        </is>
      </c>
      <c r="K12" s="41" t="inlineStr">
        <is>
          <t>12%</t>
        </is>
      </c>
      <c r="L12" s="41" t="inlineStr">
        <is>
          <t>Small EDA player</t>
        </is>
      </c>
    </row>
    <row r="13" ht="15" customHeight="1">
      <c r="B13" s="49" t="inlineStr">
        <is>
          <t>Synopsys (SNPS)</t>
        </is>
      </c>
      <c r="C13" s="49" t="inlineStr">
        <is>
          <t>SNPS</t>
        </is>
      </c>
      <c r="D13" s="50" t="inlineStr">
        <is>
          <t>96.3</t>
        </is>
      </c>
      <c r="E13" s="50" t="inlineStr">
        <is>
          <t>9.5x</t>
        </is>
      </c>
      <c r="F13" s="50" t="inlineStr">
        <is>
          <t>22.0x</t>
        </is>
      </c>
      <c r="G13" s="50" t="inlineStr">
        <is>
          <t>35.0x</t>
        </is>
      </c>
      <c r="H13" s="50" t="inlineStr">
        <is>
          <t>36%</t>
        </is>
      </c>
      <c r="I13" s="50" t="inlineStr">
        <is>
          <t>40.5%</t>
        </is>
      </c>
      <c r="J13" s="50" t="inlineStr">
        <is>
          <t>77%</t>
        </is>
      </c>
      <c r="K13" s="50" t="inlineStr">
        <is>
          <t>19%</t>
        </is>
      </c>
      <c r="L13" s="50" t="inlineStr">
        <is>
          <t>⭐ Subject Company</t>
        </is>
      </c>
    </row>
    <row r="14" ht="15" customHeight="1">
      <c r="B14" s="51" t="inlineStr"/>
      <c r="C14" s="51" t="inlineStr">
        <is>
          <t>Peer Mean (ex-SNPS)</t>
        </is>
      </c>
      <c r="D14" s="52" t="inlineStr"/>
      <c r="E14" s="52" t="inlineStr">
        <is>
          <t>9.5x</t>
        </is>
      </c>
      <c r="F14" s="52" t="inlineStr">
        <is>
          <t>28.6x</t>
        </is>
      </c>
      <c r="G14" s="52" t="inlineStr">
        <is>
          <t>47.0x</t>
        </is>
      </c>
      <c r="H14" s="52" t="inlineStr">
        <is>
          <t>10%</t>
        </is>
      </c>
      <c r="I14" s="52" t="inlineStr">
        <is>
          <t>29%</t>
        </is>
      </c>
      <c r="J14" s="52" t="inlineStr">
        <is>
          <t>76%</t>
        </is>
      </c>
      <c r="K14" s="52" t="inlineStr">
        <is>
          <t>26%</t>
        </is>
      </c>
      <c r="L14" s="52" t="inlineStr"/>
    </row>
    <row r="15" ht="15" customHeight="1">
      <c r="B15" s="51" t="inlineStr"/>
      <c r="C15" s="51" t="inlineStr">
        <is>
          <t>Peer Median (ex-SNPS)</t>
        </is>
      </c>
      <c r="D15" s="52" t="inlineStr"/>
      <c r="E15" s="52" t="inlineStr">
        <is>
          <t>9.5x</t>
        </is>
      </c>
      <c r="F15" s="52" t="inlineStr">
        <is>
          <t>31.5x</t>
        </is>
      </c>
      <c r="G15" s="52" t="inlineStr">
        <is>
          <t>41.0x</t>
        </is>
      </c>
      <c r="H15" s="52" t="inlineStr">
        <is>
          <t>12%</t>
        </is>
      </c>
      <c r="I15" s="52" t="inlineStr">
        <is>
          <t>32%</t>
        </is>
      </c>
      <c r="J15" s="52" t="inlineStr">
        <is>
          <t>78%</t>
        </is>
      </c>
      <c r="K15" s="52" t="inlineStr">
        <is>
          <t>29%</t>
        </is>
      </c>
      <c r="L15" s="52" t="inlineStr"/>
    </row>
    <row r="16" ht="15" customHeight="1">
      <c r="B16" s="51" t="inlineStr"/>
      <c r="C16" s="51" t="inlineStr">
        <is>
          <t>25th Pct</t>
        </is>
      </c>
      <c r="D16" s="52" t="inlineStr"/>
      <c r="E16" s="52" t="inlineStr">
        <is>
          <t>5.5x</t>
        </is>
      </c>
      <c r="F16" s="52" t="inlineStr">
        <is>
          <t>21.0x</t>
        </is>
      </c>
      <c r="G16" s="52" t="inlineStr">
        <is>
          <t>26.0x</t>
        </is>
      </c>
      <c r="H16" s="52" t="inlineStr">
        <is>
          <t>5%</t>
        </is>
      </c>
      <c r="I16" s="52" t="inlineStr">
        <is>
          <t>21%</t>
        </is>
      </c>
      <c r="J16" s="52" t="inlineStr">
        <is>
          <t>63%</t>
        </is>
      </c>
      <c r="K16" s="52" t="inlineStr">
        <is>
          <t>19%</t>
        </is>
      </c>
      <c r="L16" s="52" t="inlineStr"/>
    </row>
    <row r="17" ht="15" customHeight="1">
      <c r="B17" s="51" t="inlineStr"/>
      <c r="C17" s="51" t="inlineStr">
        <is>
          <t>75th Pct</t>
        </is>
      </c>
      <c r="D17" s="52" t="inlineStr"/>
      <c r="E17" s="52" t="inlineStr">
        <is>
          <t>12.5x</t>
        </is>
      </c>
      <c r="F17" s="52" t="inlineStr">
        <is>
          <t>36.5x</t>
        </is>
      </c>
      <c r="G17" s="52" t="inlineStr">
        <is>
          <t>52.0x</t>
        </is>
      </c>
      <c r="H17" s="52" t="inlineStr">
        <is>
          <t>13%</t>
        </is>
      </c>
      <c r="I17" s="52" t="inlineStr">
        <is>
          <t>36%</t>
        </is>
      </c>
      <c r="J17" s="52" t="inlineStr">
        <is>
          <t>86%</t>
        </is>
      </c>
      <c r="K17" s="52" t="inlineStr">
        <is>
          <t>34%</t>
        </is>
      </c>
      <c r="L17" s="52" t="inlineStr"/>
    </row>
    <row r="20">
      <c r="B20" s="17" t="inlineStr">
        <is>
          <t>SNPS IMPLIED VALUATION FROM COMPS (applying peer medians)</t>
        </is>
      </c>
    </row>
    <row r="21" ht="16" customHeight="1">
      <c r="B21" s="53" t="inlineStr">
        <is>
          <t>Method</t>
        </is>
      </c>
      <c r="C21" s="54" t="inlineStr">
        <is>
          <t>Multiple Applied</t>
        </is>
      </c>
      <c r="D21" s="54" t="inlineStr">
        <is>
          <t>SNPS Metric</t>
        </is>
      </c>
      <c r="E21" s="54" t="inlineStr">
        <is>
          <t>Implied EV ($M)</t>
        </is>
      </c>
      <c r="F21" s="54" t="inlineStr">
        <is>
          <t>Less Net Debt ($M)</t>
        </is>
      </c>
      <c r="G21" s="54" t="inlineStr">
        <is>
          <t>Equity Value ($M)</t>
        </is>
      </c>
      <c r="H21" s="54" t="inlineStr">
        <is>
          <t>Implied Price</t>
        </is>
      </c>
    </row>
    <row r="22" ht="16" customHeight="1">
      <c r="B22" s="48" t="inlineStr">
        <is>
          <t>EV/EBITDA (NTM median 31.5x)</t>
        </is>
      </c>
      <c r="C22" s="41" t="inlineStr">
        <is>
          <t>31.5x NTM EBITDA</t>
        </is>
      </c>
      <c r="D22" s="41" t="inlineStr">
        <is>
          <t>FY2026 EBITDA ~$4,454M</t>
        </is>
      </c>
      <c r="E22" s="41" t="inlineStr">
        <is>
          <t>140,301</t>
        </is>
      </c>
      <c r="F22" s="41" t="inlineStr">
        <is>
          <t>7,800</t>
        </is>
      </c>
      <c r="G22" s="41" t="inlineStr">
        <is>
          <t>132,501</t>
        </is>
      </c>
      <c r="H22" s="41" t="inlineStr">
        <is>
          <t>$694</t>
        </is>
      </c>
    </row>
    <row r="23" ht="16" customHeight="1">
      <c r="B23" s="48" t="inlineStr">
        <is>
          <t>P/E (NTM median 41.0x)</t>
        </is>
      </c>
      <c r="C23" s="41" t="inlineStr">
        <is>
          <t>41.0x NTM EPS</t>
        </is>
      </c>
      <c r="D23" s="41" t="inlineStr">
        <is>
          <t>FY2026 EPS $14.38</t>
        </is>
      </c>
      <c r="E23" s="41" t="inlineStr">
        <is>
          <t>N/A</t>
        </is>
      </c>
      <c r="F23" s="41" t="inlineStr">
        <is>
          <t>N/A</t>
        </is>
      </c>
      <c r="G23" s="41" t="inlineStr">
        <is>
          <t>N/A</t>
        </is>
      </c>
      <c r="H23" s="41" t="inlineStr">
        <is>
          <t>$590</t>
        </is>
      </c>
    </row>
    <row r="24" ht="16" customHeight="1">
      <c r="B24" s="48" t="inlineStr">
        <is>
          <t>P/E (NTM 50x — premium peer)</t>
        </is>
      </c>
      <c r="C24" s="41" t="inlineStr">
        <is>
          <t>50.0x NTM EPS</t>
        </is>
      </c>
      <c r="D24" s="41" t="inlineStr">
        <is>
          <t>FY2026 EPS $14.38</t>
        </is>
      </c>
      <c r="E24" s="41" t="inlineStr">
        <is>
          <t>N/A</t>
        </is>
      </c>
      <c r="F24" s="41" t="inlineStr">
        <is>
          <t>N/A</t>
        </is>
      </c>
      <c r="G24" s="41" t="inlineStr">
        <is>
          <t>N/A</t>
        </is>
      </c>
      <c r="H24" s="41" t="inlineStr">
        <is>
          <t>$719</t>
        </is>
      </c>
    </row>
    <row r="25" ht="16" customHeight="1">
      <c r="B25" s="48" t="inlineStr">
        <is>
          <t>EV/Rev (NTM median 9.5x)</t>
        </is>
      </c>
      <c r="C25" s="41" t="inlineStr">
        <is>
          <t>9.5x NTM Rev</t>
        </is>
      </c>
      <c r="D25" s="41" t="inlineStr">
        <is>
          <t>FY2026 Rev $9,610M</t>
        </is>
      </c>
      <c r="E25" s="41" t="inlineStr">
        <is>
          <t>91,295</t>
        </is>
      </c>
      <c r="F25" s="41" t="inlineStr">
        <is>
          <t>7,800</t>
        </is>
      </c>
      <c r="G25" s="41" t="inlineStr">
        <is>
          <t>83,495</t>
        </is>
      </c>
      <c r="H25" s="41" t="inlineStr">
        <is>
          <t>$437</t>
        </is>
      </c>
    </row>
    <row r="27">
      <c r="B27" s="11" t="inlineStr">
        <is>
          <t>Sources: Public filings, alphaspread.com, marketscreener.com | Comps multiples are NTM estimates as of May 2026 | ANSS excluded from statistics (no longer independently traded)</t>
        </is>
      </c>
    </row>
  </sheetData>
  <mergeCells count="3">
    <mergeCell ref="B20:L20"/>
    <mergeCell ref="B2:M2"/>
    <mergeCell ref="B27:L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4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0" customWidth="1" min="3" max="3"/>
    <col width="22" customWidth="1" min="4" max="4"/>
    <col width="14" customWidth="1" min="5" max="5"/>
    <col width="14" customWidth="1" min="6" max="6"/>
  </cols>
  <sheetData>
    <row r="2" ht="22" customHeight="1">
      <c r="B2" s="15" t="inlineStr">
        <is>
          <t>SYNOPSYS (SNPS) — THESIS TRACKER: PILLARS, RISKS, CATALYSTS &amp; KPIs</t>
        </is>
      </c>
    </row>
    <row r="4">
      <c r="B4" s="55" t="inlineStr">
        <is>
          <t>🔵  INVESTMENT THESIS PILLARS</t>
        </is>
      </c>
    </row>
    <row r="5">
      <c r="B5" s="8" t="inlineStr">
        <is>
          <t>Pillar</t>
        </is>
      </c>
      <c r="C5" s="8" t="inlineStr">
        <is>
          <t>Thesis Statement</t>
        </is>
      </c>
      <c r="D5" s="8" t="inlineStr">
        <is>
          <t>Supporting Evidence</t>
        </is>
      </c>
      <c r="E5" s="8" t="inlineStr">
        <is>
          <t>Key Monitor</t>
        </is>
      </c>
      <c r="F5" s="8" t="inlineStr">
        <is>
          <t>Status</t>
        </is>
      </c>
    </row>
    <row r="6" ht="40" customHeight="1">
      <c r="B6" s="56" t="inlineStr">
        <is>
          <t>P1 — EDA Market Leadership</t>
        </is>
      </c>
      <c r="C6" s="57" t="inlineStr">
        <is>
          <t>SNPS holds ~35-40% global EDA share in a mission-critical, high-switching-cost market</t>
        </is>
      </c>
      <c r="D6" s="58" t="inlineStr">
        <is>
          <t>Duopoly with CDNS; 84% recurring revenue; customer base = TSMC, Samsung, NVIDIA, Apple</t>
        </is>
      </c>
      <c r="E6" s="59" t="inlineStr">
        <is>
          <t>Market share vs CDNS; revenue renewal rates</t>
        </is>
      </c>
      <c r="F6" s="60" t="inlineStr">
        <is>
          <t>✅ Intact</t>
        </is>
      </c>
    </row>
    <row r="7" ht="40" customHeight="1">
      <c r="B7" s="61" t="inlineStr">
        <is>
          <t>P2 — Ansys "Silicon-to-Systems"</t>
        </is>
      </c>
      <c r="C7" s="62" t="inlineStr">
        <is>
          <t>$35B Ansys acquisition (closed Jul 2025) expands TAM 1.5x to $31B by 2028</t>
        </is>
      </c>
      <c r="D7" s="58" t="inlineStr">
        <is>
          <t>Only end-to-end silicon+multiphysics platform; synergies $400M+ annual by yr 3; NVIDIA validation</t>
        </is>
      </c>
      <c r="E7" s="59" t="inlineStr">
        <is>
          <t>Integration milestones; revenue synergy realization FY2027</t>
        </is>
      </c>
      <c r="F7" s="60" t="inlineStr">
        <is>
          <t>✅ On Track</t>
        </is>
      </c>
    </row>
    <row r="8" ht="40" customHeight="1">
      <c r="B8" s="56" t="inlineStr">
        <is>
          <t>P3 — AI Chip Design Tailwind</t>
        </is>
      </c>
      <c r="C8" s="57" t="inlineStr">
        <is>
          <t>Explosive AI semiconductor demand drives EDA complexity and pricing power</t>
        </is>
      </c>
      <c r="D8" s="58" t="inlineStr">
        <is>
          <t>NVIDIA $2B stake; generative AI EDA tools launched; 5nm/3nm/2nm design wins</t>
        </is>
      </c>
      <c r="E8" s="59" t="inlineStr">
        <is>
          <t>AI-related EDA bookings; new tool attach rates</t>
        </is>
      </c>
      <c r="F8" s="60" t="inlineStr">
        <is>
          <t>✅ Accelerating</t>
        </is>
      </c>
    </row>
    <row r="9" ht="40" customHeight="1">
      <c r="B9" s="61" t="inlineStr">
        <is>
          <t>P4 — Margin Expansion</t>
        </is>
      </c>
      <c r="C9" s="62" t="inlineStr">
        <is>
          <t>Non-GAAP operating margin expanding to 40.5% FY2026E, target mid-40s% LT</t>
        </is>
      </c>
      <c r="D9" s="58" t="inlineStr">
        <is>
          <t>Management FY2026 guidance; 320bps YoY expansion; operating leverage post-Ansys</t>
        </is>
      </c>
      <c r="E9" s="59" t="inlineStr">
        <is>
          <t>Quarterly non-GAAP EBIT margin vs guidance</t>
        </is>
      </c>
      <c r="F9" s="63" t="inlineStr">
        <is>
          <t>🟡 Monitoring</t>
        </is>
      </c>
    </row>
    <row r="10" ht="40" customHeight="1">
      <c r="B10" s="56" t="inlineStr">
        <is>
          <t>P5 — FCF &amp; Deleveraging</t>
        </is>
      </c>
      <c r="C10" s="57" t="inlineStr">
        <is>
          <t>$1.9B FCF guided FY2026; aggressive debt paydown from $13.5B to &lt;$2.6B by YE2026</t>
        </is>
      </c>
      <c r="D10" s="58" t="inlineStr">
        <is>
          <t>Already repaid $1.75B; Q1 FY2026 FCF $822M; BB/Ba1 credit rating improving trajectory</t>
        </is>
      </c>
      <c r="E10" s="59" t="inlineStr">
        <is>
          <t>Quarterly FCF generation; debt balance; leverage ratio</t>
        </is>
      </c>
      <c r="F10" s="60" t="inlineStr">
        <is>
          <t>✅ On Track</t>
        </is>
      </c>
    </row>
    <row r="13">
      <c r="B13" s="64" t="inlineStr">
        <is>
          <t>🔴  KEY RISKS</t>
        </is>
      </c>
    </row>
    <row r="14" ht="18" customHeight="1">
      <c r="B14" s="65" t="inlineStr">
        <is>
          <t>Risk</t>
        </is>
      </c>
      <c r="C14" s="65" t="inlineStr">
        <is>
          <t>Description</t>
        </is>
      </c>
      <c r="D14" s="65" t="inlineStr">
        <is>
          <t>Probability</t>
        </is>
      </c>
      <c r="E14" s="65" t="inlineStr">
        <is>
          <t>Severity</t>
        </is>
      </c>
      <c r="F14" s="65" t="inlineStr">
        <is>
          <t>Mitigant</t>
        </is>
      </c>
    </row>
    <row r="15" ht="38" customHeight="1">
      <c r="B15" s="61" t="inlineStr">
        <is>
          <t>R1 — Integration Risk</t>
        </is>
      </c>
      <c r="C15" s="62" t="inlineStr">
        <is>
          <t>Ansys integration delay/cost overruns; joint solutions delayed past H1 2026</t>
        </is>
      </c>
      <c r="D15" s="63" t="inlineStr">
        <is>
          <t>Medium</t>
        </is>
      </c>
      <c r="E15" s="66" t="inlineStr">
        <is>
          <t>High</t>
        </is>
      </c>
      <c r="F15" s="67" t="inlineStr">
        <is>
          <t>Clear milestones set; experienced management; dedicated integration team</t>
        </is>
      </c>
    </row>
    <row r="16" ht="38" customHeight="1">
      <c r="B16" s="61" t="inlineStr">
        <is>
          <t>R2 — China/Export Controls</t>
        </is>
      </c>
      <c r="C16" s="62" t="inlineStr">
        <is>
          <t>US-China chip restrictions limit EDA sales to Chinese customers (~15-20% of revenue)</t>
        </is>
      </c>
      <c r="D16" s="66" t="inlineStr">
        <is>
          <t>High</t>
        </is>
      </c>
      <c r="E16" s="63" t="inlineStr">
        <is>
          <t>Medium</t>
        </is>
      </c>
      <c r="F16" s="67" t="inlineStr">
        <is>
          <t>Diversification into non-China customers; compliance controls; some China biz grandfathered</t>
        </is>
      </c>
    </row>
    <row r="17" ht="38" customHeight="1">
      <c r="B17" s="61" t="inlineStr">
        <is>
          <t>R3 — Cadence Competition</t>
        </is>
      </c>
      <c r="C17" s="62" t="inlineStr">
        <is>
          <t>CDNS closes gap in EDA share; AI tool releases cannibalize SNPS wins</t>
        </is>
      </c>
      <c r="D17" s="63" t="inlineStr">
        <is>
          <t>Medium</t>
        </is>
      </c>
      <c r="E17" s="63" t="inlineStr">
        <is>
          <t>Medium</t>
        </is>
      </c>
      <c r="F17" s="67" t="inlineStr">
        <is>
          <t>Decades of IP; Ansys platform differentiation; customer stickiness in design flows</t>
        </is>
      </c>
    </row>
    <row r="18" ht="38" customHeight="1">
      <c r="B18" s="61" t="inlineStr">
        <is>
          <t>R4 — Valuation / Leverage</t>
        </is>
      </c>
      <c r="C18" s="62" t="inlineStr">
        <is>
          <t>$10B debt load constrains buybacks/M&amp;A; if FCF misses, de-rating risk</t>
        </is>
      </c>
      <c r="D18" s="60" t="inlineStr">
        <is>
          <t>Low-Med</t>
        </is>
      </c>
      <c r="E18" s="66" t="inlineStr">
        <is>
          <t>High</t>
        </is>
      </c>
      <c r="F18" s="67" t="inlineStr">
        <is>
          <t>FY2026 FCF guidance $1.9B; committed debt paydown schedule; NVIDIA stake as endorsement</t>
        </is>
      </c>
    </row>
    <row r="19" ht="38" customHeight="1">
      <c r="B19" s="61" t="inlineStr">
        <is>
          <t>R5 — Goodwill Impairment</t>
        </is>
      </c>
      <c r="C19" s="62" t="inlineStr">
        <is>
          <t>$26.9B goodwill (57% of assets); if Ansys synergies disappoint → write-down risk</t>
        </is>
      </c>
      <c r="D19" s="60" t="inlineStr">
        <is>
          <t>Low</t>
        </is>
      </c>
      <c r="E19" s="66" t="inlineStr">
        <is>
          <t>High</t>
        </is>
      </c>
      <c r="F19" s="67" t="inlineStr">
        <is>
          <t>Multi-year synergy validation; conservative revenue recognition; GAAP vs Non-GAAP gap widening</t>
        </is>
      </c>
    </row>
    <row r="20" ht="38" customHeight="1">
      <c r="B20" s="61" t="inlineStr">
        <is>
          <t>R6 — AI EDA Disruption</t>
        </is>
      </c>
      <c r="C20" s="62" t="inlineStr">
        <is>
          <t>New AI-native EDA startups (Copilot-style tools) disrupt incumbent pricing</t>
        </is>
      </c>
      <c r="D20" s="60" t="inlineStr">
        <is>
          <t>Low-Med</t>
        </is>
      </c>
      <c r="E20" s="63" t="inlineStr">
        <is>
          <t>Medium</t>
        </is>
      </c>
      <c r="F20" s="67" t="inlineStr">
        <is>
          <t>SNPS already leading in AI EDA; NVIDIA partnership accelerates AI integration</t>
        </is>
      </c>
    </row>
    <row r="23">
      <c r="B23" s="68" t="inlineStr">
        <is>
          <t>🟢  KEY CATALYSTS</t>
        </is>
      </c>
    </row>
    <row r="24">
      <c r="B24" s="69" t="inlineStr">
        <is>
          <t>Catalyst</t>
        </is>
      </c>
      <c r="C24" s="69" t="inlineStr">
        <is>
          <t>Expected Timing</t>
        </is>
      </c>
      <c r="D24" s="69" t="inlineStr">
        <is>
          <t>Description</t>
        </is>
      </c>
      <c r="E24" s="69" t="inlineStr">
        <is>
          <t>Potential Impact</t>
        </is>
      </c>
      <c r="F24" s="69" t="inlineStr">
        <is>
          <t>Upside Driver?</t>
        </is>
      </c>
    </row>
    <row r="25" ht="36" customHeight="1">
      <c r="B25" s="70" t="inlineStr">
        <is>
          <t>C1 — Q2 FY2026 Earnings</t>
        </is>
      </c>
      <c r="C25" s="71" t="inlineStr">
        <is>
          <t>~May 27, 2026</t>
        </is>
      </c>
      <c r="D25" s="72" t="inlineStr">
        <is>
          <t>Revenue vs $2.25B guided; non-GAAP EPS vs $3.17; FCF trajectory</t>
        </is>
      </c>
      <c r="E25" s="73" t="inlineStr">
        <is>
          <t>Medium — beat could re-rate +5-8%</t>
        </is>
      </c>
      <c r="F25" s="74" t="inlineStr">
        <is>
          <t>✅ Near-term</t>
        </is>
      </c>
    </row>
    <row r="26" ht="36" customHeight="1">
      <c r="B26" s="75" t="inlineStr">
        <is>
          <t>C2 — Ansys Integration Milestones</t>
        </is>
      </c>
      <c r="C26" s="74" t="inlineStr">
        <is>
          <t>H1 2026</t>
        </is>
      </c>
      <c r="D26" s="73" t="inlineStr">
        <is>
          <t>First integrated silicon+multiphysics products expected H1 2026; joint go-to-market</t>
        </is>
      </c>
      <c r="E26" s="73" t="inlineStr">
        <is>
          <t>High — validates $31B TAM thesis</t>
        </is>
      </c>
      <c r="F26" s="74" t="inlineStr">
        <is>
          <t>✅ Medium-term</t>
        </is>
      </c>
    </row>
    <row r="27" ht="36" customHeight="1">
      <c r="B27" s="70" t="inlineStr">
        <is>
          <t>C3 — AI EDA Product Launches</t>
        </is>
      </c>
      <c r="C27" s="71" t="inlineStr">
        <is>
          <t>FY2026</t>
        </is>
      </c>
      <c r="D27" s="72" t="inlineStr">
        <is>
          <t>NVIDIA GPU-accelerated EDA tools; agentic AI design assistants; cloud EDA platform</t>
        </is>
      </c>
      <c r="E27" s="73" t="inlineStr">
        <is>
          <t>High — pricing power + new TAM</t>
        </is>
      </c>
      <c r="F27" s="74" t="inlineStr">
        <is>
          <t>✅ Structural</t>
        </is>
      </c>
    </row>
    <row r="28" ht="36" customHeight="1">
      <c r="B28" s="75" t="inlineStr">
        <is>
          <t>C4 — Debt Paydown Completion</t>
        </is>
      </c>
      <c r="C28" s="74" t="inlineStr">
        <is>
          <t>FY2026 End</t>
        </is>
      </c>
      <c r="D28" s="73" t="inlineStr">
        <is>
          <t>Remaining $2.55B to be paid down; leverage drops to &lt;1x; opens capital return programs</t>
        </is>
      </c>
      <c r="E28" s="73" t="inlineStr">
        <is>
          <t>Medium — financial flexibility signal</t>
        </is>
      </c>
      <c r="F28" s="74" t="inlineStr">
        <is>
          <t>✅ Medium-term</t>
        </is>
      </c>
    </row>
    <row r="29" ht="36" customHeight="1">
      <c r="B29" s="70" t="inlineStr">
        <is>
          <t>C5 — Samsung/TSMC Advanced Node Wins</t>
        </is>
      </c>
      <c r="C29" s="71" t="inlineStr">
        <is>
          <t>FY2026-27</t>
        </is>
      </c>
      <c r="D29" s="72" t="inlineStr">
        <is>
          <t>Design wins for 2nm/1.4nm foundry processes; EDA certification = revenue</t>
        </is>
      </c>
      <c r="E29" s="73" t="inlineStr">
        <is>
          <t>High — competitive moat signal</t>
        </is>
      </c>
      <c r="F29" s="74" t="inlineStr">
        <is>
          <t>✅ Medium-term</t>
        </is>
      </c>
    </row>
    <row r="32">
      <c r="B32" s="76" t="inlineStr">
        <is>
          <t>📊  KPI MONITOR</t>
        </is>
      </c>
    </row>
    <row r="33">
      <c r="B33" s="77" t="inlineStr">
        <is>
          <t>KPI</t>
        </is>
      </c>
      <c r="C33" s="77" t="inlineStr">
        <is>
          <t>Threshold to Watch</t>
        </is>
      </c>
      <c r="D33" s="77" t="inlineStr">
        <is>
          <t>Current / Last Known</t>
        </is>
      </c>
      <c r="E33" s="77" t="inlineStr">
        <is>
          <t>Direction</t>
        </is>
      </c>
      <c r="F33" s="77" t="inlineStr">
        <is>
          <t>Frequency</t>
        </is>
      </c>
    </row>
    <row r="34" ht="18" customHeight="1">
      <c r="B34" s="78" t="inlineStr">
        <is>
          <t>Quarterly Revenue</t>
        </is>
      </c>
      <c r="C34" s="79" t="inlineStr">
        <is>
          <t>&gt;$2.25B (Q2 FY2026 guidance)</t>
        </is>
      </c>
      <c r="D34" s="79" t="inlineStr">
        <is>
          <t>$2.41B (Q1 FY2026)</t>
        </is>
      </c>
      <c r="E34" s="80" t="inlineStr">
        <is>
          <t>▲ Growing</t>
        </is>
      </c>
      <c r="F34" s="81" t="inlineStr">
        <is>
          <t>Quarterly</t>
        </is>
      </c>
    </row>
    <row r="35" ht="18" customHeight="1">
      <c r="B35" s="82" t="inlineStr">
        <is>
          <t>Non-GAAP EBIT Margin</t>
        </is>
      </c>
      <c r="C35" s="83" t="inlineStr">
        <is>
          <t>&gt;40% sustained</t>
        </is>
      </c>
      <c r="D35" s="83" t="inlineStr">
        <is>
          <t>42.1% (Q1 FY2026)</t>
        </is>
      </c>
      <c r="E35" s="80" t="inlineStr">
        <is>
          <t>▲ Expanding</t>
        </is>
      </c>
      <c r="F35" s="84" t="inlineStr">
        <is>
          <t>Quarterly</t>
        </is>
      </c>
    </row>
    <row r="36" ht="18" customHeight="1">
      <c r="B36" s="78" t="inlineStr">
        <is>
          <t>Adj FCF ($M / quarter)</t>
        </is>
      </c>
      <c r="C36" s="79" t="inlineStr">
        <is>
          <t>&gt;$450M per quarter</t>
        </is>
      </c>
      <c r="D36" s="79" t="inlineStr">
        <is>
          <t>$822M (Q1 FY2026)</t>
        </is>
      </c>
      <c r="E36" s="80" t="inlineStr">
        <is>
          <t>▲ Strong</t>
        </is>
      </c>
      <c r="F36" s="81" t="inlineStr">
        <is>
          <t>Quarterly</t>
        </is>
      </c>
    </row>
    <row r="37" ht="18" customHeight="1">
      <c r="B37" s="82" t="inlineStr">
        <is>
          <t>Total Debt Balance</t>
        </is>
      </c>
      <c r="C37" s="83" t="inlineStr">
        <is>
          <t>&lt;$7.5B by Oct 2026</t>
        </is>
      </c>
      <c r="D37" s="83" t="inlineStr">
        <is>
          <t>$10.0B (Q1 FY2026)</t>
        </is>
      </c>
      <c r="E37" s="85" t="inlineStr">
        <is>
          <t>▼ Declining</t>
        </is>
      </c>
      <c r="F37" s="84" t="inlineStr">
        <is>
          <t>Quarterly</t>
        </is>
      </c>
    </row>
    <row r="38" ht="18" customHeight="1">
      <c r="B38" s="78" t="inlineStr">
        <is>
          <t>Recurring Revenue %</t>
        </is>
      </c>
      <c r="C38" s="79" t="inlineStr">
        <is>
          <t>&gt;82%</t>
        </is>
      </c>
      <c r="D38" s="79" t="inlineStr">
        <is>
          <t>84% (Q1 FY2026)</t>
        </is>
      </c>
      <c r="E38" s="80" t="inlineStr">
        <is>
          <t>▲ Stable-High</t>
        </is>
      </c>
      <c r="F38" s="81" t="inlineStr">
        <is>
          <t>Quarterly</t>
        </is>
      </c>
    </row>
    <row r="39" ht="18" customHeight="1">
      <c r="B39" s="82" t="inlineStr">
        <is>
          <t>Backlog ($B)</t>
        </is>
      </c>
      <c r="C39" s="83" t="inlineStr">
        <is>
          <t>Stable &gt;$10B</t>
        </is>
      </c>
      <c r="D39" s="83" t="inlineStr">
        <is>
          <t>$11.4B (Q4 FY2025)</t>
        </is>
      </c>
      <c r="E39" s="80" t="inlineStr">
        <is>
          <t>▲ Strong</t>
        </is>
      </c>
      <c r="F39" s="84" t="inlineStr">
        <is>
          <t>Quarterly</t>
        </is>
      </c>
    </row>
    <row r="40" ht="18" customHeight="1">
      <c r="B40" s="78" t="inlineStr">
        <is>
          <t>EDA Market Share</t>
        </is>
      </c>
      <c r="C40" s="79" t="inlineStr">
        <is>
          <t>Maintain &gt;35%</t>
        </is>
      </c>
      <c r="D40" s="79" t="inlineStr">
        <is>
          <t>~35-40% (2024 est.)</t>
        </is>
      </c>
      <c r="E40" s="81" t="inlineStr">
        <is>
          <t>→ Stable</t>
        </is>
      </c>
      <c r="F40" s="81" t="inlineStr">
        <is>
          <t>Annual</t>
        </is>
      </c>
    </row>
    <row r="41" ht="18" customHeight="1">
      <c r="B41" s="82" t="inlineStr">
        <is>
          <t>Non-GAAP EPS Growth</t>
        </is>
      </c>
      <c r="C41" s="83" t="inlineStr">
        <is>
          <t>&gt;10% YoY</t>
        </is>
      </c>
      <c r="D41" s="83" t="inlineStr">
        <is>
          <t>+24.4% FY2025 adj</t>
        </is>
      </c>
      <c r="E41" s="80" t="inlineStr">
        <is>
          <t>▲ Strong</t>
        </is>
      </c>
      <c r="F41" s="84" t="inlineStr">
        <is>
          <t>Quarterly</t>
        </is>
      </c>
    </row>
    <row r="42" ht="18" customHeight="1">
      <c r="B42" s="78" t="inlineStr">
        <is>
          <t>FY2026 Guidance Reiteration</t>
        </is>
      </c>
      <c r="C42" s="79" t="inlineStr">
        <is>
          <t>Revenue $9.56-$9.66B maintained</t>
        </is>
      </c>
      <c r="D42" s="79" t="inlineStr">
        <is>
          <t>Reiterated (Q1 FY2026)</t>
        </is>
      </c>
      <c r="E42" s="81" t="inlineStr">
        <is>
          <t>✅ On Track</t>
        </is>
      </c>
      <c r="F42" s="81" t="inlineStr">
        <is>
          <t>Quarterly</t>
        </is>
      </c>
    </row>
    <row r="43" ht="18" customHeight="1">
      <c r="B43" s="82" t="inlineStr">
        <is>
          <t>NVIDIA Partnership Milestones</t>
        </is>
      </c>
      <c r="C43" s="83" t="inlineStr">
        <is>
          <t>Joint product deliverables FY2026</t>
        </is>
      </c>
      <c r="D43" s="83" t="inlineStr">
        <is>
          <t>Partnership announced Dec 2025</t>
        </is>
      </c>
      <c r="E43" s="84" t="inlineStr">
        <is>
          <t>→ In Progress</t>
        </is>
      </c>
      <c r="F43" s="84" t="inlineStr">
        <is>
          <t>Annual</t>
        </is>
      </c>
    </row>
  </sheetData>
  <mergeCells count="5">
    <mergeCell ref="B4:F4"/>
    <mergeCell ref="B2:F2"/>
    <mergeCell ref="B23:F23"/>
    <mergeCell ref="B32:F32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49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45" customWidth="1" min="6" max="6"/>
  </cols>
  <sheetData>
    <row r="2" ht="22" customHeight="1">
      <c r="B2" s="15" t="inlineStr">
        <is>
          <t>DCF MODEL — COMPLETE ASSUMPTIONS LIST  (SNPS Initiating Coverage)</t>
        </is>
      </c>
    </row>
    <row r="4">
      <c r="B4" s="8" t="inlineStr">
        <is>
          <t>Assumption</t>
        </is>
      </c>
      <c r="C4" s="8" t="inlineStr">
        <is>
          <t>Bear Case</t>
        </is>
      </c>
      <c r="D4" s="8" t="inlineStr">
        <is>
          <t>Base Case (↑)</t>
        </is>
      </c>
      <c r="E4" s="8" t="inlineStr">
        <is>
          <t>Bull Case</t>
        </is>
      </c>
      <c r="F4" s="8" t="inlineStr">
        <is>
          <t>Source / Rationale</t>
        </is>
      </c>
    </row>
    <row r="5" ht="16" customHeight="1">
      <c r="B5" s="86" t="inlineStr">
        <is>
          <t>A. REVENUE GROWTH ASSUMPTIONS</t>
        </is>
      </c>
    </row>
    <row r="6" ht="15" customHeight="1">
      <c r="B6" s="4" t="inlineStr">
        <is>
          <t>FY2026E Revenue Growth (vs FY2025 $7.054B)</t>
        </is>
      </c>
      <c r="C6" s="87" t="inlineStr">
        <is>
          <t>35.5%</t>
        </is>
      </c>
      <c r="D6" s="88" t="inlineStr">
        <is>
          <t>36.2%</t>
        </is>
      </c>
      <c r="E6" s="87" t="inlineStr">
        <is>
          <t>36.5%</t>
        </is>
      </c>
      <c r="F6" s="89" t="inlineStr">
        <is>
          <t>Management guidance $9.56-$9.66B midpoint; +Ansys $2.9B full-year contribution</t>
        </is>
      </c>
    </row>
    <row r="7" ht="15" customHeight="1">
      <c r="B7" s="4" t="inlineStr">
        <is>
          <t>FY2027E Revenue Growth</t>
        </is>
      </c>
      <c r="C7" s="87" t="inlineStr">
        <is>
          <t>9.0%</t>
        </is>
      </c>
      <c r="D7" s="88" t="inlineStr">
        <is>
          <t>12.0%</t>
        </is>
      </c>
      <c r="E7" s="87" t="inlineStr">
        <is>
          <t>15.0%</t>
        </is>
      </c>
      <c r="F7" s="89" t="inlineStr">
        <is>
          <t>Post-integration growth; Ansys synergies begin; consensus ~12%</t>
        </is>
      </c>
    </row>
    <row r="8" ht="15" customHeight="1">
      <c r="B8" s="4" t="inlineStr">
        <is>
          <t>FY2028E Revenue Growth</t>
        </is>
      </c>
      <c r="C8" s="87" t="inlineStr">
        <is>
          <t>7.0%</t>
        </is>
      </c>
      <c r="D8" s="88" t="inlineStr">
        <is>
          <t>10.0%</t>
        </is>
      </c>
      <c r="E8" s="87" t="inlineStr">
        <is>
          <t>13.0%</t>
        </is>
      </c>
      <c r="F8" s="89" t="inlineStr">
        <is>
          <t>EDA market CAGR 8.8-9.35%; share gains from AI design tools</t>
        </is>
      </c>
    </row>
    <row r="9" ht="15" customHeight="1">
      <c r="B9" s="4" t="inlineStr">
        <is>
          <t>FY2029E Revenue Growth</t>
        </is>
      </c>
      <c r="C9" s="87" t="inlineStr">
        <is>
          <t>6.0%</t>
        </is>
      </c>
      <c r="D9" s="88" t="inlineStr">
        <is>
          <t>9.0%</t>
        </is>
      </c>
      <c r="E9" s="87" t="inlineStr">
        <is>
          <t>11.0%</t>
        </is>
      </c>
      <c r="F9" s="89" t="inlineStr">
        <is>
          <t>Maturing Ansys integration; steady-state combined entity</t>
        </is>
      </c>
    </row>
    <row r="10" ht="15" customHeight="1">
      <c r="B10" s="4" t="inlineStr">
        <is>
          <t>FY2030E Revenue Growth</t>
        </is>
      </c>
      <c r="C10" s="87" t="inlineStr">
        <is>
          <t>5.0%</t>
        </is>
      </c>
      <c r="D10" s="88" t="inlineStr">
        <is>
          <t>8.0%</t>
        </is>
      </c>
      <c r="E10" s="87" t="inlineStr">
        <is>
          <t>10.0%</t>
        </is>
      </c>
      <c r="F10" s="89" t="inlineStr">
        <is>
          <t>Long-term EDA market growth + system simulation expansion</t>
        </is>
      </c>
    </row>
    <row r="11" ht="15" customHeight="1">
      <c r="B11" s="4" t="inlineStr">
        <is>
          <t>Terminal Growth Rate (g)</t>
        </is>
      </c>
      <c r="C11" s="87" t="inlineStr">
        <is>
          <t>2.5%</t>
        </is>
      </c>
      <c r="D11" s="88" t="inlineStr">
        <is>
          <t>3.0%</t>
        </is>
      </c>
      <c r="E11" s="87" t="inlineStr">
        <is>
          <t>3.5%</t>
        </is>
      </c>
      <c r="F11" s="89" t="inlineStr">
        <is>
          <t>Must be ≤ nominal long-term GDP growth; 3% = conservative for software leader</t>
        </is>
      </c>
    </row>
    <row r="13" ht="16" customHeight="1">
      <c r="B13" s="86" t="inlineStr">
        <is>
          <t>B. PROFITABILITY ASSUMPTIONS</t>
        </is>
      </c>
    </row>
    <row r="14" ht="15" customHeight="1">
      <c r="B14" s="4" t="inlineStr">
        <is>
          <t>FY2026E Non-GAAP EBIT Margin</t>
        </is>
      </c>
      <c r="C14" s="87" t="inlineStr">
        <is>
          <t>39.5%</t>
        </is>
      </c>
      <c r="D14" s="88" t="inlineStr">
        <is>
          <t>40.5%</t>
        </is>
      </c>
      <c r="E14" s="87" t="inlineStr">
        <is>
          <t>41.0%</t>
        </is>
      </c>
      <c r="F14" s="89" t="inlineStr">
        <is>
          <t>Management guided 40.5% non-GAAP operating margin (Dec 2025)</t>
        </is>
      </c>
    </row>
    <row r="15" ht="15" customHeight="1">
      <c r="B15" s="4" t="inlineStr">
        <is>
          <t>FY2027E EBIT Margin</t>
        </is>
      </c>
      <c r="C15" s="87" t="inlineStr">
        <is>
          <t>40.0%</t>
        </is>
      </c>
      <c r="D15" s="88" t="inlineStr">
        <is>
          <t>41.5%</t>
        </is>
      </c>
      <c r="E15" s="87" t="inlineStr">
        <is>
          <t>42.5%</t>
        </is>
      </c>
      <c r="F15" s="89" t="inlineStr">
        <is>
          <t>Synergy realization; scale economies; management target mid-40s LT</t>
        </is>
      </c>
    </row>
    <row r="16" ht="15" customHeight="1">
      <c r="B16" s="4" t="inlineStr">
        <is>
          <t>FY2028E EBIT Margin</t>
        </is>
      </c>
      <c r="C16" s="87" t="inlineStr">
        <is>
          <t>40.5%</t>
        </is>
      </c>
      <c r="D16" s="88" t="inlineStr">
        <is>
          <t>42.5%</t>
        </is>
      </c>
      <c r="E16" s="87" t="inlineStr">
        <is>
          <t>44.0%</t>
        </is>
      </c>
      <c r="F16" s="89" t="inlineStr">
        <is>
          <t>Continued operating leverage; AI tools higher margin mix</t>
        </is>
      </c>
    </row>
    <row r="17" ht="15" customHeight="1">
      <c r="B17" s="4" t="inlineStr">
        <is>
          <t>FY2029E EBIT Margin</t>
        </is>
      </c>
      <c r="C17" s="87" t="inlineStr">
        <is>
          <t>40.8%</t>
        </is>
      </c>
      <c r="D17" s="88" t="inlineStr">
        <is>
          <t>43.0%</t>
        </is>
      </c>
      <c r="E17" s="87" t="inlineStr">
        <is>
          <t>45.0%</t>
        </is>
      </c>
      <c r="F17" s="89" t="inlineStr">
        <is>
          <t>Approaching management mid-40s target</t>
        </is>
      </c>
    </row>
    <row r="18" ht="15" customHeight="1">
      <c r="B18" s="4" t="inlineStr">
        <is>
          <t>FY2030E EBIT Margin</t>
        </is>
      </c>
      <c r="C18" s="87" t="inlineStr">
        <is>
          <t>41.0%</t>
        </is>
      </c>
      <c r="D18" s="88" t="inlineStr">
        <is>
          <t>43.5%</t>
        </is>
      </c>
      <c r="E18" s="87" t="inlineStr">
        <is>
          <t>45.5%</t>
        </is>
      </c>
      <c r="F18" s="89" t="inlineStr">
        <is>
          <t>Long-term terminal EBIT margin; reflects Software IP mix</t>
        </is>
      </c>
    </row>
    <row r="19" ht="15" customHeight="1">
      <c r="B19" s="4" t="inlineStr">
        <is>
          <t>Gross Margin (FY2026E)</t>
        </is>
      </c>
      <c r="C19" s="87" t="inlineStr">
        <is>
          <t>77.5%</t>
        </is>
      </c>
      <c r="D19" s="88" t="inlineStr">
        <is>
          <t>78.0%</t>
        </is>
      </c>
      <c r="E19" s="87" t="inlineStr">
        <is>
          <t>79.0%</t>
        </is>
      </c>
      <c r="F19" s="89" t="inlineStr">
        <is>
          <t>Historical 77-80%; slight dilution from Ansys HW services mix</t>
        </is>
      </c>
    </row>
    <row r="20" ht="15" customHeight="1">
      <c r="B20" s="4" t="inlineStr">
        <is>
          <t>D&amp;A as % of Revenue</t>
        </is>
      </c>
      <c r="C20" s="87" t="inlineStr">
        <is>
          <t>5.5%</t>
        </is>
      </c>
      <c r="D20" s="88" t="inlineStr">
        <is>
          <t>5.5%</t>
        </is>
      </c>
      <c r="E20" s="87" t="inlineStr">
        <is>
          <t>5.5%</t>
        </is>
      </c>
      <c r="F20" s="89" t="inlineStr">
        <is>
          <t>Historical 4-6%; elevated post-Ansys intangible amortization</t>
        </is>
      </c>
    </row>
    <row r="22" ht="16" customHeight="1">
      <c r="B22" s="86" t="inlineStr">
        <is>
          <t>C. CAPITAL STRUCTURE &amp; RETURNS</t>
        </is>
      </c>
    </row>
    <row r="23" ht="15" customHeight="1">
      <c r="B23" s="4" t="inlineStr">
        <is>
          <t>CapEx as % of Revenue</t>
        </is>
      </c>
      <c r="C23" s="87" t="inlineStr">
        <is>
          <t>3.5%</t>
        </is>
      </c>
      <c r="D23" s="88" t="inlineStr">
        <is>
          <t>3.3%</t>
        </is>
      </c>
      <c r="E23" s="87" t="inlineStr">
        <is>
          <t>3.0%</t>
        </is>
      </c>
      <c r="F23" s="89" t="inlineStr">
        <is>
          <t>FY2026 guided CapEx $300M / $9.61B = 3.1%; historical 2-4%</t>
        </is>
      </c>
    </row>
    <row r="24" ht="15" customHeight="1">
      <c r="B24" s="4" t="inlineStr">
        <is>
          <t>Change in NWC as % of Rev Δ</t>
        </is>
      </c>
      <c r="C24" s="87" t="inlineStr">
        <is>
          <t>2.0%</t>
        </is>
      </c>
      <c r="D24" s="88" t="inlineStr">
        <is>
          <t>1.5%</t>
        </is>
      </c>
      <c r="E24" s="87" t="inlineStr">
        <is>
          <t>1.0%</t>
        </is>
      </c>
      <c r="F24" s="89" t="inlineStr">
        <is>
          <t>Subscription business; low working capital intensity; deferred revenue helps</t>
        </is>
      </c>
    </row>
    <row r="25" ht="15" customHeight="1">
      <c r="B25" s="4" t="inlineStr">
        <is>
          <t>Tax Rate (Effective)</t>
        </is>
      </c>
      <c r="C25" s="87" t="inlineStr">
        <is>
          <t>14.0%</t>
        </is>
      </c>
      <c r="D25" s="88" t="inlineStr">
        <is>
          <t>13.5%</t>
        </is>
      </c>
      <c r="E25" s="87" t="inlineStr">
        <is>
          <t>13.0%</t>
        </is>
      </c>
      <c r="F25" s="89" t="inlineStr">
        <is>
          <t>FY2025 blended effective rate; FDII and R&amp;D credits benefit; US statutory 21%</t>
        </is>
      </c>
    </row>
    <row r="26" ht="15" customHeight="1">
      <c r="B26" s="4" t="inlineStr">
        <is>
          <t>Diluted Shares Outstanding (M)</t>
        </is>
      </c>
      <c r="C26" s="87" t="inlineStr">
        <is>
          <t>191</t>
        </is>
      </c>
      <c r="D26" s="88" t="inlineStr">
        <is>
          <t>191</t>
        </is>
      </c>
      <c r="E26" s="87" t="inlineStr">
        <is>
          <t>191</t>
        </is>
      </c>
      <c r="F26" s="89" t="inlineStr">
        <is>
          <t>Buybacks suspended during debt paydown; modest dilution from SBC ~1%/yr</t>
        </is>
      </c>
    </row>
    <row r="28" ht="16" customHeight="1">
      <c r="B28" s="86" t="inlineStr">
        <is>
          <t>D. WACC COMPONENTS</t>
        </is>
      </c>
    </row>
    <row r="29" ht="15" customHeight="1">
      <c r="B29" s="4" t="inlineStr">
        <is>
          <t>Risk-Free Rate (10Y UST)</t>
        </is>
      </c>
      <c r="C29" s="87" t="inlineStr">
        <is>
          <t>4.2%</t>
        </is>
      </c>
      <c r="D29" s="88" t="inlineStr">
        <is>
          <t>4.4%</t>
        </is>
      </c>
      <c r="E29" s="87" t="inlineStr">
        <is>
          <t>4.0%</t>
        </is>
      </c>
      <c r="F29" s="89" t="inlineStr">
        <is>
          <t>Current 10Y Treasury ~4.4%; range reflects rate uncertainty</t>
        </is>
      </c>
    </row>
    <row r="30" ht="15" customHeight="1">
      <c r="B30" s="4" t="inlineStr">
        <is>
          <t>Equity Risk Premium (ERP)</t>
        </is>
      </c>
      <c r="C30" s="87" t="inlineStr">
        <is>
          <t>4.5%</t>
        </is>
      </c>
      <c r="D30" s="88" t="inlineStr">
        <is>
          <t>4.2%</t>
        </is>
      </c>
      <c r="E30" s="87" t="inlineStr">
        <is>
          <t>4.0%</t>
        </is>
      </c>
      <c r="F30" s="89" t="inlineStr">
        <is>
          <t>Damodaran implied ERP; alphaspread.com published 4.18%</t>
        </is>
      </c>
    </row>
    <row r="31" ht="15" customHeight="1">
      <c r="B31" s="4" t="inlineStr">
        <is>
          <t>Beta (SNPS)</t>
        </is>
      </c>
      <c r="C31" s="87" t="inlineStr">
        <is>
          <t>1.05</t>
        </is>
      </c>
      <c r="D31" s="88" t="inlineStr">
        <is>
          <t>0.96</t>
        </is>
      </c>
      <c r="E31" s="87" t="inlineStr">
        <is>
          <t>0.90</t>
        </is>
      </c>
      <c r="F31" s="89" t="inlineStr">
        <is>
          <t>alphaspread.com 0.96; reflects lower beta vs semiconductor peers due to recurring revenue</t>
        </is>
      </c>
    </row>
    <row r="32" ht="15" customHeight="1">
      <c r="B32" s="4" t="inlineStr">
        <is>
          <t>Cost of Equity (Ke)</t>
        </is>
      </c>
      <c r="C32" s="87" t="inlineStr">
        <is>
          <t>8.9%</t>
        </is>
      </c>
      <c r="D32" s="88" t="inlineStr">
        <is>
          <t>8.4%</t>
        </is>
      </c>
      <c r="E32" s="87" t="inlineStr">
        <is>
          <t>7.6%</t>
        </is>
      </c>
      <c r="F32" s="89" t="inlineStr">
        <is>
          <t>Ke = Rf + β × ERP; computed from above inputs</t>
        </is>
      </c>
    </row>
    <row r="33" ht="15" customHeight="1">
      <c r="B33" s="4" t="inlineStr">
        <is>
          <t>Pre-Tax Cost of Debt</t>
        </is>
      </c>
      <c r="C33" s="87" t="inlineStr">
        <is>
          <t>5.5%</t>
        </is>
      </c>
      <c r="D33" s="88" t="inlineStr">
        <is>
          <t>5.1%</t>
        </is>
      </c>
      <c r="E33" s="87" t="inlineStr">
        <is>
          <t>4.8%</t>
        </is>
      </c>
      <c r="F33" s="89" t="inlineStr">
        <is>
          <t>Interest expense / average debt; credit improving post-deleveraging</t>
        </is>
      </c>
    </row>
    <row r="34" ht="15" customHeight="1">
      <c r="B34" s="4" t="inlineStr">
        <is>
          <t>WACC</t>
        </is>
      </c>
      <c r="C34" s="87" t="inlineStr">
        <is>
          <t>8.6%</t>
        </is>
      </c>
      <c r="D34" s="88" t="inlineStr">
        <is>
          <t>8.1%</t>
        </is>
      </c>
      <c r="E34" s="87" t="inlineStr">
        <is>
          <t>7.5%</t>
        </is>
      </c>
      <c r="F34" s="89" t="inlineStr">
        <is>
          <t>Post-Ansys capital structure; 90.6% equity weight, 9.4% debt weight</t>
        </is>
      </c>
    </row>
    <row r="36" ht="16" customHeight="1">
      <c r="B36" s="86" t="inlineStr">
        <is>
          <t>E. TERMINAL VALUE &amp; BRIDGE</t>
        </is>
      </c>
    </row>
    <row r="37" ht="15" customHeight="1">
      <c r="B37" s="4" t="inlineStr">
        <is>
          <t>Terminal Value Method</t>
        </is>
      </c>
      <c r="C37" s="87" t="inlineStr">
        <is>
          <t>Perpetuity Growth</t>
        </is>
      </c>
      <c r="D37" s="88" t="inlineStr">
        <is>
          <t>Perpetuity Growth</t>
        </is>
      </c>
      <c r="E37" s="87" t="inlineStr">
        <is>
          <t>Perpetuity Growth</t>
        </is>
      </c>
      <c r="F37" s="89" t="inlineStr">
        <is>
          <t>Primary: Gordon Growth Model; cross-checked with exit EV/EBITDA multiple</t>
        </is>
      </c>
    </row>
    <row r="38" ht="15" customHeight="1">
      <c r="B38" s="4" t="inlineStr">
        <is>
          <t>Exit EV/EBITDA Multiple (cross-check)</t>
        </is>
      </c>
      <c r="C38" s="87" t="inlineStr">
        <is>
          <t>28.0x</t>
        </is>
      </c>
      <c r="D38" s="88" t="inlineStr">
        <is>
          <t>31.5x</t>
        </is>
      </c>
      <c r="E38" s="87" t="inlineStr">
        <is>
          <t>36.0x</t>
        </is>
      </c>
      <c r="F38" s="89" t="inlineStr">
        <is>
          <t>Peer median 31.5x; CDNS peers trade 38x; premium justified by combined platform</t>
        </is>
      </c>
    </row>
    <row r="39" ht="15" customHeight="1">
      <c r="B39" s="4" t="inlineStr">
        <is>
          <t>Net Debt at Valuation Date ($M)</t>
        </is>
      </c>
      <c r="C39" s="87" t="inlineStr">
        <is>
          <t>8,500</t>
        </is>
      </c>
      <c r="D39" s="88" t="inlineStr">
        <is>
          <t>7,800</t>
        </is>
      </c>
      <c r="E39" s="87" t="inlineStr">
        <is>
          <t>7,000</t>
        </is>
      </c>
      <c r="F39" s="89" t="inlineStr">
        <is>
          <t>Debt $10.0B per Q1 FY2026 less cash $2.2B; bear case includes FCF shortfall</t>
        </is>
      </c>
    </row>
    <row r="40" ht="15" customHeight="1">
      <c r="B40" s="4" t="inlineStr">
        <is>
          <t>Minority / Preferred / Other ($M)</t>
        </is>
      </c>
      <c r="C40" s="87" t="inlineStr">
        <is>
          <t>0</t>
        </is>
      </c>
      <c r="D40" s="88" t="inlineStr">
        <is>
          <t>0</t>
        </is>
      </c>
      <c r="E40" s="87" t="inlineStr">
        <is>
          <t>0</t>
        </is>
      </c>
      <c r="F40" s="89" t="inlineStr">
        <is>
          <t>No significant minority interests or preferred equity outstanding</t>
        </is>
      </c>
    </row>
    <row r="42" ht="16" customHeight="1">
      <c r="B42" s="90" t="inlineStr">
        <is>
          <t>F. MARKET &amp; INDUSTRY ASSUMPTIONS</t>
        </is>
      </c>
    </row>
    <row r="43" ht="15" customHeight="1">
      <c r="B43" s="4" t="inlineStr">
        <is>
          <t>EDA Market CAGR (2026-2035)</t>
        </is>
      </c>
      <c r="C43" s="87" t="inlineStr">
        <is>
          <t>7.0%</t>
        </is>
      </c>
      <c r="D43" s="88" t="inlineStr">
        <is>
          <t>8.8%</t>
        </is>
      </c>
      <c r="E43" s="87" t="inlineStr">
        <is>
          <t>10.0%</t>
        </is>
      </c>
      <c r="F43" s="89" t="inlineStr">
        <is>
          <t>SNS Insider projects $17.5B in 2025 to $42.85B by 2035 at 9.35% CAGR</t>
        </is>
      </c>
    </row>
    <row r="44" ht="15" customHeight="1">
      <c r="B44" s="4" t="inlineStr">
        <is>
          <t>Combined TAM (EDA + Multiphysics) 2028</t>
        </is>
      </c>
      <c r="C44" s="87" t="inlineStr">
        <is>
          <t>$25B</t>
        </is>
      </c>
      <c r="D44" s="88" t="inlineStr">
        <is>
          <t>$31B</t>
        </is>
      </c>
      <c r="E44" s="87" t="inlineStr">
        <is>
          <t>$35B</t>
        </is>
      </c>
      <c r="F44" s="89" t="inlineStr">
        <is>
          <t>Management guided $31B combined TAM; bull includes AI-native simulation expansion</t>
        </is>
      </c>
    </row>
    <row r="45" ht="15" customHeight="1">
      <c r="B45" s="4" t="inlineStr">
        <is>
          <t>SNPS Market Share (EDA only)</t>
        </is>
      </c>
      <c r="C45" s="87" t="inlineStr">
        <is>
          <t>34%</t>
        </is>
      </c>
      <c r="D45" s="88" t="inlineStr">
        <is>
          <t>36%</t>
        </is>
      </c>
      <c r="E45" s="87" t="inlineStr">
        <is>
          <t>38%</t>
        </is>
      </c>
      <c r="F45" s="89" t="inlineStr">
        <is>
          <t>35-40% current per industry estimates; modest gains from Ansys cross-sell</t>
        </is>
      </c>
    </row>
    <row r="46" ht="15" customHeight="1">
      <c r="B46" s="4" t="inlineStr">
        <is>
          <t>AI/Advanced Node Design % of Revenue</t>
        </is>
      </c>
      <c r="C46" s="87" t="inlineStr">
        <is>
          <t>25%</t>
        </is>
      </c>
      <c r="D46" s="88" t="inlineStr">
        <is>
          <t>30%</t>
        </is>
      </c>
      <c r="E46" s="87" t="inlineStr">
        <is>
          <t>38%</t>
        </is>
      </c>
      <c r="F46" s="89" t="inlineStr">
        <is>
          <t>AI chip design is fastest-growing EDA end market; NVDA, AMD, hyperscalers driving demand</t>
        </is>
      </c>
    </row>
    <row r="49" ht="30" customHeight="1">
      <c r="B49" s="91" t="inlineStr">
        <is>
          <t>⚠ MODEL RISKS: TV &gt; 75% of EV in all scenarios (typical for high-growth software). Cross-validate with comps. Non-GAAP metrics used for comparability; GAAP impacted by Ansys acquisition amortization.</t>
        </is>
      </c>
    </row>
  </sheetData>
  <mergeCells count="8">
    <mergeCell ref="B2:F2"/>
    <mergeCell ref="B28:F28"/>
    <mergeCell ref="B42:F42"/>
    <mergeCell ref="B5:F5"/>
    <mergeCell ref="B22:F22"/>
    <mergeCell ref="B36:F36"/>
    <mergeCell ref="B13:F13"/>
    <mergeCell ref="B49:F4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2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 ht="22" customHeight="1">
      <c r="B2" s="15" t="inlineStr">
        <is>
          <t>SYNOPSYS (SNPS) — VALUATION FRAMEWORK &amp; FOOTBALL FIELD</t>
        </is>
      </c>
    </row>
    <row r="4">
      <c r="B4" s="17" t="inlineStr">
        <is>
          <t>VALUATION FOOTBALL FIELD  (Implied Share Price, USD)</t>
        </is>
      </c>
    </row>
    <row r="5">
      <c r="B5" s="8" t="inlineStr">
        <is>
          <t>Methodology</t>
        </is>
      </c>
      <c r="C5" s="8" t="inlineStr">
        <is>
          <t>Weight</t>
        </is>
      </c>
      <c r="D5" s="8" t="inlineStr">
        <is>
          <t>Low</t>
        </is>
      </c>
      <c r="E5" s="8" t="inlineStr">
        <is>
          <t>Mid / Base</t>
        </is>
      </c>
      <c r="F5" s="8" t="inlineStr">
        <is>
          <t>High</t>
        </is>
      </c>
      <c r="G5" s="8" t="inlineStr">
        <is>
          <t>Notes</t>
        </is>
      </c>
    </row>
    <row r="6" ht="22" customHeight="1">
      <c r="B6" s="56" t="inlineStr">
        <is>
          <t>DCF — Base Case (WACC 8.05%, g=3.0%)</t>
        </is>
      </c>
      <c r="C6" s="47" t="inlineStr">
        <is>
          <t>40%</t>
        </is>
      </c>
      <c r="D6" s="92" t="inlineStr">
        <is>
          <t>$382</t>
        </is>
      </c>
      <c r="E6" s="52" t="inlineStr">
        <is>
          <t>$454</t>
        </is>
      </c>
      <c r="F6" s="93" t="inlineStr">
        <is>
          <t>$520</t>
        </is>
      </c>
      <c r="G6" s="94" t="inlineStr">
        <is>
          <t>Bear/Base/Bull scenarios; TV &gt;75% EV flagged</t>
        </is>
      </c>
    </row>
    <row r="7" ht="22" customHeight="1">
      <c r="B7" s="61" t="inlineStr">
        <is>
          <t>DCF — WACC Sensitivity (±100bps)</t>
        </is>
      </c>
      <c r="C7" s="41" t="inlineStr">
        <is>
          <t>—</t>
        </is>
      </c>
      <c r="D7" s="95" t="inlineStr">
        <is>
          <t>$388</t>
        </is>
      </c>
      <c r="E7" s="52" t="inlineStr">
        <is>
          <t>$459</t>
        </is>
      </c>
      <c r="F7" s="96" t="inlineStr">
        <is>
          <t>$566</t>
        </is>
      </c>
      <c r="G7" s="67" t="inlineStr">
        <is>
          <t>From WACC 8.0-9.0% vs TGR 2.5-3.5%</t>
        </is>
      </c>
    </row>
    <row r="8" ht="22" customHeight="1">
      <c r="B8" s="97" t="inlineStr">
        <is>
          <t>EV/EBITDA — Peer Median (31.5x)</t>
        </is>
      </c>
      <c r="C8" s="47" t="inlineStr">
        <is>
          <t>30%</t>
        </is>
      </c>
      <c r="D8" s="92" t="inlineStr">
        <is>
          <t>$580</t>
        </is>
      </c>
      <c r="E8" s="52" t="inlineStr">
        <is>
          <t>$694</t>
        </is>
      </c>
      <c r="F8" s="93" t="inlineStr">
        <is>
          <t>$800</t>
        </is>
      </c>
      <c r="G8" s="94" t="inlineStr">
        <is>
          <t>31.5x NTM EBITDA; premium justified vs CDNS at 38x</t>
        </is>
      </c>
    </row>
    <row r="9" ht="22" customHeight="1">
      <c r="B9" s="4" t="inlineStr">
        <is>
          <t>P/E — Peer Median (41x NTM)</t>
        </is>
      </c>
      <c r="C9" s="41" t="inlineStr">
        <is>
          <t>15%</t>
        </is>
      </c>
      <c r="D9" s="95" t="inlineStr">
        <is>
          <t>$508</t>
        </is>
      </c>
      <c r="E9" s="52" t="inlineStr">
        <is>
          <t>$590</t>
        </is>
      </c>
      <c r="F9" s="96" t="inlineStr">
        <is>
          <t>$693</t>
        </is>
      </c>
      <c r="G9" s="67" t="inlineStr">
        <is>
          <t>41x median; premium 50x on NVIDIA stake + AI growth</t>
        </is>
      </c>
    </row>
    <row r="10" ht="22" customHeight="1">
      <c r="B10" s="97" t="inlineStr">
        <is>
          <t>P/E — Premium AI Software (50x NTM)</t>
        </is>
      </c>
      <c r="C10" s="47" t="inlineStr">
        <is>
          <t>15%</t>
        </is>
      </c>
      <c r="D10" s="92" t="inlineStr">
        <is>
          <t>$647</t>
        </is>
      </c>
      <c r="E10" s="52" t="inlineStr">
        <is>
          <t>$719</t>
        </is>
      </c>
      <c r="F10" s="93" t="inlineStr">
        <is>
          <t>$791</t>
        </is>
      </c>
      <c r="G10" s="94" t="inlineStr">
        <is>
          <t>50x = CDNS-level premium; warranted if synergies materialize</t>
        </is>
      </c>
    </row>
    <row r="11" ht="22" customHeight="1">
      <c r="B11" s="4" t="inlineStr">
        <is>
          <t>EV/Revenue (NTM 9.5x median)</t>
        </is>
      </c>
      <c r="C11" s="41" t="inlineStr">
        <is>
          <t>—</t>
        </is>
      </c>
      <c r="D11" s="95" t="inlineStr">
        <is>
          <t>$350</t>
        </is>
      </c>
      <c r="E11" s="52" t="inlineStr">
        <is>
          <t>$437</t>
        </is>
      </c>
      <c r="F11" s="96" t="inlineStr">
        <is>
          <t>$520</t>
        </is>
      </c>
      <c r="G11" s="67" t="inlineStr">
        <is>
          <t>Revenue multiple; less meaningful for SNPS given margin expansion path</t>
        </is>
      </c>
    </row>
    <row r="12" ht="22" customHeight="1">
      <c r="B12" s="97" t="inlineStr">
        <is>
          <t>52-Week Range (reference)</t>
        </is>
      </c>
      <c r="C12" s="47" t="inlineStr">
        <is>
          <t>—</t>
        </is>
      </c>
      <c r="D12" s="92" t="inlineStr">
        <is>
          <t>$374</t>
        </is>
      </c>
      <c r="E12" s="52" t="inlineStr">
        <is>
          <t>$491</t>
        </is>
      </c>
      <c r="F12" s="93" t="inlineStr">
        <is>
          <t>$607</t>
        </is>
      </c>
      <c r="G12" s="94" t="inlineStr">
        <is>
          <t>Market-implied range; does not reflect Ansys post-close re-rating</t>
        </is>
      </c>
    </row>
    <row r="13" ht="22" customHeight="1">
      <c r="B13" s="4" t="inlineStr">
        <is>
          <t>Analyst Consensus Target</t>
        </is>
      </c>
      <c r="C13" s="41" t="inlineStr">
        <is>
          <t>—</t>
        </is>
      </c>
      <c r="D13" s="95" t="inlineStr">
        <is>
          <t>$425</t>
        </is>
      </c>
      <c r="E13" s="52" t="inlineStr">
        <is>
          <t>$547</t>
        </is>
      </c>
      <c r="F13" s="96" t="inlineStr">
        <is>
          <t>$630</t>
        </is>
      </c>
      <c r="G13" s="67" t="inlineStr">
        <is>
          <t>25 analysts; mean $537; high $630 (GS $630); low $425</t>
        </is>
      </c>
    </row>
    <row r="16">
      <c r="B16" s="17" t="inlineStr">
        <is>
          <t>PRICE TARGET DERIVATION &amp; RECOMMENDATION</t>
        </is>
      </c>
    </row>
    <row r="17" ht="18" customHeight="1">
      <c r="B17" s="90" t="inlineStr">
        <is>
          <t>Component</t>
        </is>
      </c>
      <c r="C17" s="98" t="inlineStr">
        <is>
          <t>Weight</t>
        </is>
      </c>
      <c r="D17" s="98" t="inlineStr">
        <is>
          <t>Mid Value</t>
        </is>
      </c>
      <c r="E17" s="98" t="inlineStr">
        <is>
          <t>Contribution</t>
        </is>
      </c>
      <c r="F17" s="98" t="inlineStr"/>
      <c r="G17" s="98" t="inlineStr">
        <is>
          <t>Formula</t>
        </is>
      </c>
    </row>
    <row r="18" ht="18" customHeight="1">
      <c r="B18" s="48" t="inlineStr">
        <is>
          <t>DCF (Base Case)</t>
        </is>
      </c>
      <c r="C18" s="41" t="inlineStr">
        <is>
          <t>40%</t>
        </is>
      </c>
      <c r="D18" s="41" t="inlineStr">
        <is>
          <t>$454</t>
        </is>
      </c>
      <c r="E18" s="41" t="inlineStr">
        <is>
          <t>$181.6</t>
        </is>
      </c>
      <c r="F18" s="41" t="inlineStr"/>
      <c r="G18" s="41">
        <f>40% × $454</f>
        <v/>
      </c>
    </row>
    <row r="19" ht="18" customHeight="1">
      <c r="B19" s="48" t="inlineStr">
        <is>
          <t>EV/EBITDA (31.5x)</t>
        </is>
      </c>
      <c r="C19" s="41" t="inlineStr">
        <is>
          <t>30%</t>
        </is>
      </c>
      <c r="D19" s="41" t="inlineStr">
        <is>
          <t>$694</t>
        </is>
      </c>
      <c r="E19" s="41" t="inlineStr">
        <is>
          <t>$208.2</t>
        </is>
      </c>
      <c r="F19" s="41" t="inlineStr"/>
      <c r="G19" s="41">
        <f>30% × $694</f>
        <v/>
      </c>
    </row>
    <row r="20" ht="18" customHeight="1">
      <c r="B20" s="48" t="inlineStr">
        <is>
          <t>P/E Blended (45.5x avg)</t>
        </is>
      </c>
      <c r="C20" s="41" t="inlineStr">
        <is>
          <t>30%</t>
        </is>
      </c>
      <c r="D20" s="41" t="inlineStr">
        <is>
          <t>$640</t>
        </is>
      </c>
      <c r="E20" s="41" t="inlineStr">
        <is>
          <t>$192.0</t>
        </is>
      </c>
      <c r="F20" s="41" t="inlineStr"/>
      <c r="G20" s="41">
        <f>30% × (($590+$719)/2)</f>
        <v/>
      </c>
    </row>
    <row r="21" ht="18" customHeight="1">
      <c r="B21" s="99" t="inlineStr">
        <is>
          <t>BLENDED PRICE TARGET</t>
        </is>
      </c>
      <c r="C21" s="100" t="inlineStr">
        <is>
          <t>100%</t>
        </is>
      </c>
      <c r="D21" s="100" t="inlineStr"/>
      <c r="E21" s="100" t="inlineStr">
        <is>
          <t>$582 → $585 (rounded)</t>
        </is>
      </c>
      <c r="F21" s="100" t="inlineStr"/>
      <c r="G21" s="100" t="inlineStr">
        <is>
          <t>Sum of weighted contributions</t>
        </is>
      </c>
    </row>
    <row r="22" ht="18" customHeight="1">
      <c r="B22" s="48" t="inlineStr">
        <is>
          <t>Current Price</t>
        </is>
      </c>
      <c r="C22" s="41" t="inlineStr"/>
      <c r="D22" s="41" t="inlineStr">
        <is>
          <t>$503.98</t>
        </is>
      </c>
      <c r="E22" s="41" t="inlineStr"/>
      <c r="F22" s="41" t="inlineStr"/>
      <c r="G22" s="41" t="inlineStr">
        <is>
          <t>As of May 21, 2026</t>
        </is>
      </c>
    </row>
    <row r="23" ht="18" customHeight="1">
      <c r="B23" s="48" t="inlineStr">
        <is>
          <t>Upside to Price Target</t>
        </is>
      </c>
      <c r="C23" s="41" t="inlineStr"/>
      <c r="D23" s="41" t="inlineStr"/>
      <c r="E23" s="41" t="inlineStr">
        <is>
          <t>+16.1%</t>
        </is>
      </c>
      <c r="F23" s="41" t="inlineStr"/>
    </row>
    <row r="24" ht="18" customHeight="1">
      <c r="B24" s="101" t="inlineStr">
        <is>
          <t>RECOMMENDATION</t>
        </is>
      </c>
    </row>
  </sheetData>
  <mergeCells count="4">
    <mergeCell ref="B2:G2"/>
    <mergeCell ref="B4:G4"/>
    <mergeCell ref="F23:G23"/>
    <mergeCell ref="B16:G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2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22" customHeight="1">
      <c r="B2" s="15" t="inlineStr">
        <is>
          <t>SYNOPSYS (SNPS) — VALUATION FRAMEWORK &amp; FOOTBALL FIELD</t>
        </is>
      </c>
    </row>
    <row r="4">
      <c r="B4" s="17" t="inlineStr">
        <is>
          <t>VALUATION FOOTBALL FIELD  (Implied Share Price, USD)</t>
        </is>
      </c>
    </row>
    <row r="5">
      <c r="B5" s="8" t="inlineStr">
        <is>
          <t>Methodology</t>
        </is>
      </c>
      <c r="C5" s="8" t="inlineStr">
        <is>
          <t>Weight</t>
        </is>
      </c>
      <c r="D5" s="8" t="inlineStr">
        <is>
          <t>Low</t>
        </is>
      </c>
      <c r="E5" s="8" t="inlineStr">
        <is>
          <t>Mid / Base</t>
        </is>
      </c>
      <c r="F5" s="8" t="inlineStr">
        <is>
          <t>High</t>
        </is>
      </c>
      <c r="G5" s="8" t="inlineStr">
        <is>
          <t>Notes</t>
        </is>
      </c>
    </row>
    <row r="6" ht="22" customHeight="1">
      <c r="B6" s="97" t="inlineStr">
        <is>
          <t>DCF — Base Case (WACC 8.05%, g=3.0%)</t>
        </is>
      </c>
      <c r="C6" s="102" t="inlineStr">
        <is>
          <t>40%</t>
        </is>
      </c>
      <c r="D6" s="92" t="inlineStr">
        <is>
          <t>$382</t>
        </is>
      </c>
      <c r="E6" s="52" t="inlineStr">
        <is>
          <t>$454</t>
        </is>
      </c>
      <c r="F6" s="93" t="inlineStr">
        <is>
          <t>$520</t>
        </is>
      </c>
      <c r="G6" s="103" t="inlineStr">
        <is>
          <t>Bear/Base/Bull DCF scenarios</t>
        </is>
      </c>
    </row>
    <row r="7" ht="22" customHeight="1">
      <c r="B7" s="4" t="inlineStr">
        <is>
          <t>DCF — WACC Sensitivity Range</t>
        </is>
      </c>
      <c r="C7" s="104" t="inlineStr">
        <is>
          <t>—</t>
        </is>
      </c>
      <c r="D7" s="95" t="inlineStr">
        <is>
          <t>$388</t>
        </is>
      </c>
      <c r="E7" s="52" t="inlineStr">
        <is>
          <t>$459</t>
        </is>
      </c>
      <c r="F7" s="96" t="inlineStr">
        <is>
          <t>$566</t>
        </is>
      </c>
      <c r="G7" s="89" t="inlineStr">
        <is>
          <t>WACC 7.0-9.0% vs TGR 2.0-3.5%</t>
        </is>
      </c>
    </row>
    <row r="8" ht="22" customHeight="1">
      <c r="B8" s="97" t="inlineStr">
        <is>
          <t>EV/EBITDA — Peer Median (31.5x)</t>
        </is>
      </c>
      <c r="C8" s="102" t="inlineStr">
        <is>
          <t>30%</t>
        </is>
      </c>
      <c r="D8" s="92" t="inlineStr">
        <is>
          <t>$580</t>
        </is>
      </c>
      <c r="E8" s="52" t="inlineStr">
        <is>
          <t>$694</t>
        </is>
      </c>
      <c r="F8" s="93" t="inlineStr">
        <is>
          <t>$800</t>
        </is>
      </c>
      <c r="G8" s="103" t="inlineStr">
        <is>
          <t>31.5x NTM EBITDA FY2026E ~$4,454M</t>
        </is>
      </c>
    </row>
    <row r="9" ht="22" customHeight="1">
      <c r="B9" s="4" t="inlineStr">
        <is>
          <t>P/E — Peer Median (41x)</t>
        </is>
      </c>
      <c r="C9" s="104" t="inlineStr">
        <is>
          <t>15%</t>
        </is>
      </c>
      <c r="D9" s="95" t="inlineStr">
        <is>
          <t>$508</t>
        </is>
      </c>
      <c r="E9" s="52" t="inlineStr">
        <is>
          <t>$590</t>
        </is>
      </c>
      <c r="F9" s="96" t="inlineStr">
        <is>
          <t>$693</t>
        </is>
      </c>
      <c r="G9" s="89" t="inlineStr">
        <is>
          <t>41x × FY2026E EPS $14.38</t>
        </is>
      </c>
    </row>
    <row r="10" ht="22" customHeight="1">
      <c r="B10" s="97" t="inlineStr">
        <is>
          <t>P/E — Premium (50x)</t>
        </is>
      </c>
      <c r="C10" s="102" t="inlineStr">
        <is>
          <t>15%</t>
        </is>
      </c>
      <c r="D10" s="92" t="inlineStr">
        <is>
          <t>$647</t>
        </is>
      </c>
      <c r="E10" s="52" t="inlineStr">
        <is>
          <t>$719</t>
        </is>
      </c>
      <c r="F10" s="93" t="inlineStr">
        <is>
          <t>$791</t>
        </is>
      </c>
      <c r="G10" s="103" t="inlineStr">
        <is>
          <t>50x CDNS-parity multiple</t>
        </is>
      </c>
    </row>
    <row r="11" ht="22" customHeight="1">
      <c r="B11" s="4" t="inlineStr">
        <is>
          <t>EV/Revenue (9.5x median)</t>
        </is>
      </c>
      <c r="C11" s="104" t="inlineStr">
        <is>
          <t>—</t>
        </is>
      </c>
      <c r="D11" s="95" t="inlineStr">
        <is>
          <t>$350</t>
        </is>
      </c>
      <c r="E11" s="52" t="inlineStr">
        <is>
          <t>$437</t>
        </is>
      </c>
      <c r="F11" s="96" t="inlineStr">
        <is>
          <t>$520</t>
        </is>
      </c>
      <c r="G11" s="89" t="inlineStr">
        <is>
          <t>Reference only</t>
        </is>
      </c>
    </row>
    <row r="12" ht="22" customHeight="1">
      <c r="B12" s="97" t="inlineStr">
        <is>
          <t>52-Week Range</t>
        </is>
      </c>
      <c r="C12" s="102" t="inlineStr">
        <is>
          <t>—</t>
        </is>
      </c>
      <c r="D12" s="92" t="inlineStr">
        <is>
          <t>$374</t>
        </is>
      </c>
      <c r="E12" s="52" t="inlineStr">
        <is>
          <t>$491</t>
        </is>
      </c>
      <c r="F12" s="93" t="inlineStr">
        <is>
          <t>$607</t>
        </is>
      </c>
      <c r="G12" s="103" t="inlineStr">
        <is>
          <t>As of May 2026</t>
        </is>
      </c>
    </row>
    <row r="13" ht="22" customHeight="1">
      <c r="B13" s="4" t="inlineStr">
        <is>
          <t>Analyst Consensus</t>
        </is>
      </c>
      <c r="C13" s="104" t="inlineStr">
        <is>
          <t>—</t>
        </is>
      </c>
      <c r="D13" s="95" t="inlineStr">
        <is>
          <t>$425</t>
        </is>
      </c>
      <c r="E13" s="52" t="inlineStr">
        <is>
          <t>$547</t>
        </is>
      </c>
      <c r="F13" s="96" t="inlineStr">
        <is>
          <t>$630</t>
        </is>
      </c>
      <c r="G13" s="89" t="inlineStr">
        <is>
          <t>25 analysts; mean $537</t>
        </is>
      </c>
    </row>
    <row r="16">
      <c r="B16" s="17" t="inlineStr">
        <is>
          <t>PRICE TARGET DERIVATION &amp; RECOMMENDATION</t>
        </is>
      </c>
    </row>
    <row r="17" ht="18" customHeight="1">
      <c r="B17" s="90" t="inlineStr">
        <is>
          <t>Component</t>
        </is>
      </c>
      <c r="C17" s="98" t="inlineStr">
        <is>
          <t>Weight</t>
        </is>
      </c>
      <c r="D17" s="98" t="inlineStr">
        <is>
          <t>Mid Value</t>
        </is>
      </c>
      <c r="E17" s="98" t="inlineStr">
        <is>
          <t>Contribution</t>
        </is>
      </c>
    </row>
    <row r="18" ht="18" customHeight="1">
      <c r="B18" s="48" t="inlineStr">
        <is>
          <t>DCF Base Case</t>
        </is>
      </c>
      <c r="C18" s="41" t="inlineStr">
        <is>
          <t>40%</t>
        </is>
      </c>
      <c r="D18" s="41" t="inlineStr">
        <is>
          <t>$454</t>
        </is>
      </c>
      <c r="E18" s="41" t="inlineStr">
        <is>
          <t>$181.6</t>
        </is>
      </c>
    </row>
    <row r="19" ht="18" customHeight="1">
      <c r="B19" s="48" t="inlineStr">
        <is>
          <t>EV/EBITDA (31.5x)</t>
        </is>
      </c>
      <c r="C19" s="41" t="inlineStr">
        <is>
          <t>30%</t>
        </is>
      </c>
      <c r="D19" s="41" t="inlineStr">
        <is>
          <t>$694</t>
        </is>
      </c>
      <c r="E19" s="41" t="inlineStr">
        <is>
          <t>$208.2</t>
        </is>
      </c>
    </row>
    <row r="20" ht="18" customHeight="1">
      <c r="B20" s="48" t="inlineStr">
        <is>
          <t>P/E Blended (45.5x)</t>
        </is>
      </c>
      <c r="C20" s="41" t="inlineStr">
        <is>
          <t>30%</t>
        </is>
      </c>
      <c r="D20" s="41" t="inlineStr">
        <is>
          <t>$640</t>
        </is>
      </c>
      <c r="E20" s="41" t="inlineStr">
        <is>
          <t>$192.0</t>
        </is>
      </c>
    </row>
    <row r="21" ht="18" customHeight="1">
      <c r="B21" s="105" t="inlineStr">
        <is>
          <t>→ Blended Price Target</t>
        </is>
      </c>
      <c r="C21" s="106" t="inlineStr">
        <is>
          <t>100%</t>
        </is>
      </c>
      <c r="D21" s="106" t="inlineStr"/>
      <c r="E21" s="106" t="inlineStr">
        <is>
          <t>$582  (rounded to $585)</t>
        </is>
      </c>
    </row>
    <row r="22" ht="18" customHeight="1">
      <c r="B22" s="48" t="inlineStr">
        <is>
          <t>Current Price</t>
        </is>
      </c>
      <c r="C22" s="41" t="inlineStr"/>
      <c r="D22" s="41" t="inlineStr">
        <is>
          <t>$503.98</t>
        </is>
      </c>
      <c r="E22" s="41" t="inlineStr"/>
    </row>
    <row r="23" ht="18" customHeight="1">
      <c r="B23" s="48" t="inlineStr">
        <is>
          <t>Upside to Price Target</t>
        </is>
      </c>
      <c r="C23" s="41" t="inlineStr"/>
      <c r="D23" s="41" t="inlineStr"/>
      <c r="E23" s="41" t="inlineStr">
        <is>
          <t>+16.1%</t>
        </is>
      </c>
    </row>
    <row r="24" ht="18" customHeight="1">
      <c r="B24" s="107" t="inlineStr">
        <is>
          <t>RECOMMENDATION</t>
        </is>
      </c>
      <c r="C24" s="108" t="inlineStr"/>
      <c r="D24" s="108" t="inlineStr"/>
      <c r="E24" s="109" t="inlineStr">
        <is>
          <t>BUY</t>
        </is>
      </c>
    </row>
    <row r="26" ht="22" customHeight="1">
      <c r="B26" s="91" t="inlineStr">
        <is>
          <t>DOWNGRADE trigger: Integration issues, China revenue headwind &gt;$500M/yr, EBIT margin &lt;38%, debt covenant breach</t>
        </is>
      </c>
    </row>
    <row r="27" ht="22" customHeight="1">
      <c r="B27" s="110" t="inlineStr">
        <is>
          <t>UPGRADE trigger: Ansys synergies $400M+ ahead of schedule, EBIT margin &gt;44% FY2027, hyperscaler AI EDA wins, China restrictions eased</t>
        </is>
      </c>
    </row>
  </sheetData>
  <mergeCells count="5">
    <mergeCell ref="B16:G16"/>
    <mergeCell ref="B4:H4"/>
    <mergeCell ref="B27:G27"/>
    <mergeCell ref="B2:H2"/>
    <mergeCell ref="B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2026-05-22T12:57:09Z</dcterms:created>
  <dcterms:modified xmlns:dcterms="http://purl.org/dc/terms/" xmlns:xsi="http://www.w3.org/2001/XMLSchema-instance" xsi:type="dcterms:W3CDTF">2026-05-22T13:03:28Z</dcterms:modified>
</cp:coreProperties>
</file>