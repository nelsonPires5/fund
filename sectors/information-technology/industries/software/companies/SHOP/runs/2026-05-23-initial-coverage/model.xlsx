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Summary" sheetId="2" state="visible" r:id="rId2"/>
    <sheet name="Revenue Model" sheetId="3" state="visible" r:id="rId3"/>
    <sheet name="Income Statement" sheetId="4" state="visible" r:id="rId4"/>
    <sheet name="Cash Flow" sheetId="5" state="visible" r:id="rId5"/>
    <sheet name="Balance Sheet" sheetId="6" state="visible" r:id="rId6"/>
    <sheet name="Sensitivity" sheetId="7" state="visible" r:id="rId7"/>
    <sheet name="Comps" sheetId="8" state="visible" r:id="rId8"/>
    <sheet name="Thesis Tracker" sheetId="9" state="visible" r:id="rId9"/>
    <sheet name="DCF Assumptions" sheetId="10" state="visible" r:id="rId10"/>
    <sheet name="Checks" sheetId="11" state="visible" r:id="rId11"/>
  </sheets>
  <definedNames>
    <definedName name="valuation_implied_share_price">'DCF'!$B$107</definedName>
    <definedName name="valuation_upside_downside">'DCF'!$B$109</definedName>
    <definedName name="valuation_enterprise_value">'DCF'!$B$102</definedName>
    <definedName name="valuation_equity_value">'DCF'!$B$105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$0.00"/>
    <numFmt numFmtId="165" formatCode="#,##0.0"/>
    <numFmt numFmtId="166" formatCode="$#,##0;($#,##0);-"/>
    <numFmt numFmtId="167" formatCode="0.0%"/>
    <numFmt numFmtId="168" formatCode="0.0"/>
    <numFmt numFmtId="169" formatCode="0.000x"/>
    <numFmt numFmtId="170" formatCode="0.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0000FF"/>
    </font>
    <font>
      <color rgb="00000000"/>
    </font>
    <font>
      <b val="1"/>
      <color rgb="00FFFFFF"/>
    </font>
    <font>
      <b val="1"/>
    </font>
    <font>
      <b val="1"/>
      <color rgb="00000000"/>
    </font>
    <font>
      <color rgb="00008000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top style="medium">
        <color rgb="00808080"/>
      </top>
      <bottom style="medium">
        <color rgb="00808080"/>
      </bottom>
    </border>
    <border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165" fontId="2" fillId="3" borderId="0" applyAlignment="1" pivotButton="0" quotePrefix="0" xfId="0">
      <alignment vertical="center" wrapText="1"/>
    </xf>
    <xf numFmtId="166" fontId="2" fillId="3" borderId="0" applyAlignment="1" pivotButton="0" quotePrefix="0" xfId="0">
      <alignment vertical="center" wrapText="1"/>
    </xf>
    <xf numFmtId="166" fontId="3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167" fontId="3" fillId="0" borderId="0" applyAlignment="1" pivotButton="0" quotePrefix="0" xfId="0">
      <alignment vertical="center" wrapText="1"/>
    </xf>
    <xf numFmtId="167" fontId="2" fillId="3" borderId="0" applyAlignment="1" pivotButton="0" quotePrefix="0" xfId="0">
      <alignment vertical="center" wrapText="1"/>
    </xf>
    <xf numFmtId="168" fontId="2" fillId="3" borderId="0" applyAlignment="1" pivotButton="0" quotePrefix="0" xfId="0">
      <alignment vertical="center" wrapText="1"/>
    </xf>
    <xf numFmtId="169" fontId="3" fillId="0" borderId="0" applyAlignment="1" pivotButton="0" quotePrefix="0" xfId="0">
      <alignment vertical="center" wrapText="1"/>
    </xf>
    <xf numFmtId="166" fontId="6" fillId="5" borderId="0" applyAlignment="1" pivotButton="0" quotePrefix="0" xfId="0">
      <alignment vertical="center" wrapText="1"/>
    </xf>
    <xf numFmtId="167" fontId="6" fillId="5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4" fontId="6" fillId="5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66" fontId="7" fillId="0" borderId="0" applyAlignment="1" pivotButton="0" quotePrefix="0" xfId="0">
      <alignment vertical="center" wrapText="1"/>
    </xf>
    <xf numFmtId="167" fontId="7" fillId="0" borderId="0" applyAlignment="1" pivotButton="0" quotePrefix="0" xfId="0">
      <alignment vertical="center" wrapText="1"/>
    </xf>
    <xf numFmtId="165" fontId="7" fillId="0" borderId="0" applyAlignment="1" pivotButton="0" quotePrefix="0" xfId="0">
      <alignment vertical="center" wrapText="1"/>
    </xf>
    <xf numFmtId="167" fontId="8" fillId="3" borderId="0" applyAlignment="1" pivotButton="0" quotePrefix="0" xfId="0">
      <alignment vertical="center" wrapText="1"/>
    </xf>
    <xf numFmtId="2" fontId="8" fillId="3" borderId="0" applyAlignment="1" pivotButton="0" quotePrefix="0" xfId="0">
      <alignment vertical="center" wrapText="1"/>
    </xf>
    <xf numFmtId="170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pi</author>
  </authors>
  <commentList>
    <comment ref="B4" authorId="0" shapeId="0">
      <text>
        <t>Source: Analyst assumption; 1=Bear, 2=Base, 3=Bull</t>
      </text>
    </comment>
    <comment ref="B8" authorId="0" shapeId="0">
      <text>
        <t>Source: Koyfin overview, 2026-05-23</t>
      </text>
    </comment>
    <comment ref="B9" authorId="0" shapeId="0">
      <text>
        <t>Source: Koyfin overview, 2026-05-23</t>
      </text>
    </comment>
    <comment ref="B10" authorId="0" shapeId="0">
      <text>
        <t>Source: Koyfin / Q1 2026 balance sheet</t>
      </text>
    </comment>
    <comment ref="B11" authorId="0" shapeId="0">
      <text>
        <t>Source: Koyfin / Q1 2026 balance sheet</t>
      </text>
    </comment>
    <comment ref="B33" authorId="0" shapeId="0">
      <text>
        <t>Source: Bear case assumption from dcf_assumptions.md / analyst model</t>
      </text>
    </comment>
    <comment ref="C33" authorId="0" shapeId="0">
      <text>
        <t>Source: Bear case assumption from dcf_assumptions.md / analyst model</t>
      </text>
    </comment>
    <comment ref="D33" authorId="0" shapeId="0">
      <text>
        <t>Source: Bear case assumption from dcf_assumptions.md / analyst model</t>
      </text>
    </comment>
    <comment ref="E33" authorId="0" shapeId="0">
      <text>
        <t>Source: Bear case assumption from dcf_assumptions.md / analyst model</t>
      </text>
    </comment>
    <comment ref="F33" authorId="0" shapeId="0">
      <text>
        <t>Source: Bear case assumption from dcf_assumptions.md / analyst model</t>
      </text>
    </comment>
    <comment ref="G33" authorId="0" shapeId="0">
      <text>
        <t>Source: Bear case assumption from dcf_assumptions.md / analyst model</t>
      </text>
    </comment>
    <comment ref="H33" authorId="0" shapeId="0">
      <text>
        <t>Source: Bear case assumption from dcf_assumptions.md / analyst model</t>
      </text>
    </comment>
    <comment ref="I33" authorId="0" shapeId="0">
      <text>
        <t>Source: Bear case assumption from dcf_assumptions.md / analyst model</t>
      </text>
    </comment>
    <comment ref="J33" authorId="0" shapeId="0">
      <text>
        <t>Source: Bear case assumption from dcf_assumptions.md / analyst model</t>
      </text>
    </comment>
    <comment ref="K33" authorId="0" shapeId="0">
      <text>
        <t>Source: Bear case assumption from dcf_assumptions.md / analyst model</t>
      </text>
    </comment>
    <comment ref="B34" authorId="0" shapeId="0">
      <text>
        <t>Source: Bear case assumption from dcf_assumptions.md / analyst model</t>
      </text>
    </comment>
    <comment ref="C34" authorId="0" shapeId="0">
      <text>
        <t>Source: Bear case assumption from dcf_assumptions.md / analyst model</t>
      </text>
    </comment>
    <comment ref="D34" authorId="0" shapeId="0">
      <text>
        <t>Source: Bear case assumption from dcf_assumptions.md / analyst model</t>
      </text>
    </comment>
    <comment ref="E34" authorId="0" shapeId="0">
      <text>
        <t>Source: Bear case assumption from dcf_assumptions.md / analyst model</t>
      </text>
    </comment>
    <comment ref="F34" authorId="0" shapeId="0">
      <text>
        <t>Source: Bear case assumption from dcf_assumptions.md / analyst model</t>
      </text>
    </comment>
    <comment ref="G34" authorId="0" shapeId="0">
      <text>
        <t>Source: Bear case assumption from dcf_assumptions.md / analyst model</t>
      </text>
    </comment>
    <comment ref="H34" authorId="0" shapeId="0">
      <text>
        <t>Source: Bear case assumption from dcf_assumptions.md / analyst model</t>
      </text>
    </comment>
    <comment ref="I34" authorId="0" shapeId="0">
      <text>
        <t>Source: Bear case assumption from dcf_assumptions.md / analyst model</t>
      </text>
    </comment>
    <comment ref="J34" authorId="0" shapeId="0">
      <text>
        <t>Source: Bear case assumption from dcf_assumptions.md / analyst model</t>
      </text>
    </comment>
    <comment ref="K34" authorId="0" shapeId="0">
      <text>
        <t>Source: Bear case assumption from dcf_assumptions.md / analyst model</t>
      </text>
    </comment>
    <comment ref="B35" authorId="0" shapeId="0">
      <text>
        <t>Source: Bear case assumption from dcf_assumptions.md / analyst model</t>
      </text>
    </comment>
    <comment ref="C35" authorId="0" shapeId="0">
      <text>
        <t>Source: Bear case assumption from dcf_assumptions.md / analyst model</t>
      </text>
    </comment>
    <comment ref="D35" authorId="0" shapeId="0">
      <text>
        <t>Source: Bear case assumption from dcf_assumptions.md / analyst model</t>
      </text>
    </comment>
    <comment ref="E35" authorId="0" shapeId="0">
      <text>
        <t>Source: Bear case assumption from dcf_assumptions.md / analyst model</t>
      </text>
    </comment>
    <comment ref="F35" authorId="0" shapeId="0">
      <text>
        <t>Source: Bear case assumption from dcf_assumptions.md / analyst model</t>
      </text>
    </comment>
    <comment ref="G35" authorId="0" shapeId="0">
      <text>
        <t>Source: Bear case assumption from dcf_assumptions.md / analyst model</t>
      </text>
    </comment>
    <comment ref="H35" authorId="0" shapeId="0">
      <text>
        <t>Source: Bear case assumption from dcf_assumptions.md / analyst model</t>
      </text>
    </comment>
    <comment ref="I35" authorId="0" shapeId="0">
      <text>
        <t>Source: Bear case assumption from dcf_assumptions.md / analyst model</t>
      </text>
    </comment>
    <comment ref="J35" authorId="0" shapeId="0">
      <text>
        <t>Source: Bear case assumption from dcf_assumptions.md / analyst model</t>
      </text>
    </comment>
    <comment ref="K35" authorId="0" shapeId="0">
      <text>
        <t>Source: Bear case assumption from dcf_assumptions.md / analyst model</t>
      </text>
    </comment>
    <comment ref="B36" authorId="0" shapeId="0">
      <text>
        <t>Source: Bear case assumption from dcf_assumptions.md / analyst model</t>
      </text>
    </comment>
    <comment ref="C36" authorId="0" shapeId="0">
      <text>
        <t>Source: Bear case assumption from dcf_assumptions.md / analyst model</t>
      </text>
    </comment>
    <comment ref="D36" authorId="0" shapeId="0">
      <text>
        <t>Source: Bear case assumption from dcf_assumptions.md / analyst model</t>
      </text>
    </comment>
    <comment ref="E36" authorId="0" shapeId="0">
      <text>
        <t>Source: Bear case assumption from dcf_assumptions.md / analyst model</t>
      </text>
    </comment>
    <comment ref="F36" authorId="0" shapeId="0">
      <text>
        <t>Source: Bear case assumption from dcf_assumptions.md / analyst model</t>
      </text>
    </comment>
    <comment ref="G36" authorId="0" shapeId="0">
      <text>
        <t>Source: Bear case assumption from dcf_assumptions.md / analyst model</t>
      </text>
    </comment>
    <comment ref="H36" authorId="0" shapeId="0">
      <text>
        <t>Source: Bear case assumption from dcf_assumptions.md / analyst model</t>
      </text>
    </comment>
    <comment ref="I36" authorId="0" shapeId="0">
      <text>
        <t>Source: Bear case assumption from dcf_assumptions.md / analyst model</t>
      </text>
    </comment>
    <comment ref="J36" authorId="0" shapeId="0">
      <text>
        <t>Source: Bear case assumption from dcf_assumptions.md / analyst model</t>
      </text>
    </comment>
    <comment ref="K36" authorId="0" shapeId="0">
      <text>
        <t>Source: Bear case assumption from dcf_assumptions.md / analyst model</t>
      </text>
    </comment>
    <comment ref="B37" authorId="0" shapeId="0">
      <text>
        <t>Source: Bear case assumption from dcf_assumptions.md / analyst model</t>
      </text>
    </comment>
    <comment ref="C37" authorId="0" shapeId="0">
      <text>
        <t>Source: Bear case assumption from dcf_assumptions.md / analyst model</t>
      </text>
    </comment>
    <comment ref="D37" authorId="0" shapeId="0">
      <text>
        <t>Source: Bear case assumption from dcf_assumptions.md / analyst model</t>
      </text>
    </comment>
    <comment ref="E37" authorId="0" shapeId="0">
      <text>
        <t>Source: Bear case assumption from dcf_assumptions.md / analyst model</t>
      </text>
    </comment>
    <comment ref="F37" authorId="0" shapeId="0">
      <text>
        <t>Source: Bear case assumption from dcf_assumptions.md / analyst model</t>
      </text>
    </comment>
    <comment ref="G37" authorId="0" shapeId="0">
      <text>
        <t>Source: Bear case assumption from dcf_assumptions.md / analyst model</t>
      </text>
    </comment>
    <comment ref="H37" authorId="0" shapeId="0">
      <text>
        <t>Source: Bear case assumption from dcf_assumptions.md / analyst model</t>
      </text>
    </comment>
    <comment ref="I37" authorId="0" shapeId="0">
      <text>
        <t>Source: Bear case assumption from dcf_assumptions.md / analyst model</t>
      </text>
    </comment>
    <comment ref="J37" authorId="0" shapeId="0">
      <text>
        <t>Source: Bear case assumption from dcf_assumptions.md / analyst model</t>
      </text>
    </comment>
    <comment ref="K37" authorId="0" shapeId="0">
      <text>
        <t>Source: Bear case assumption from dcf_assumptions.md / analyst model</t>
      </text>
    </comment>
    <comment ref="B38" authorId="0" shapeId="0">
      <text>
        <t>Source: Bear case assumption from dcf_assumptions.md / analyst model</t>
      </text>
    </comment>
    <comment ref="C38" authorId="0" shapeId="0">
      <text>
        <t>Source: Bear case assumption from dcf_assumptions.md / analyst model</t>
      </text>
    </comment>
    <comment ref="D38" authorId="0" shapeId="0">
      <text>
        <t>Source: Bear case assumption from dcf_assumptions.md / analyst model</t>
      </text>
    </comment>
    <comment ref="E38" authorId="0" shapeId="0">
      <text>
        <t>Source: Bear case assumption from dcf_assumptions.md / analyst model</t>
      </text>
    </comment>
    <comment ref="F38" authorId="0" shapeId="0">
      <text>
        <t>Source: Bear case assumption from dcf_assumptions.md / analyst model</t>
      </text>
    </comment>
    <comment ref="G38" authorId="0" shapeId="0">
      <text>
        <t>Source: Bear case assumption from dcf_assumptions.md / analyst model</t>
      </text>
    </comment>
    <comment ref="H38" authorId="0" shapeId="0">
      <text>
        <t>Source: Bear case assumption from dcf_assumptions.md / analyst model</t>
      </text>
    </comment>
    <comment ref="I38" authorId="0" shapeId="0">
      <text>
        <t>Source: Bear case assumption from dcf_assumptions.md / analyst model</t>
      </text>
    </comment>
    <comment ref="J38" authorId="0" shapeId="0">
      <text>
        <t>Source: Bear case assumption from dcf_assumptions.md / analyst model</t>
      </text>
    </comment>
    <comment ref="K38" authorId="0" shapeId="0">
      <text>
        <t>Source: Bear case assumption from dcf_assumptions.md / analyst model</t>
      </text>
    </comment>
    <comment ref="B39" authorId="0" shapeId="0">
      <text>
        <t>Source: Bear case assumption from dcf_assumptions.md / analyst model</t>
      </text>
    </comment>
    <comment ref="C39" authorId="0" shapeId="0">
      <text>
        <t>Source: Bear case assumption from dcf_assumptions.md / analyst model</t>
      </text>
    </comment>
    <comment ref="D39" authorId="0" shapeId="0">
      <text>
        <t>Source: Bear case assumption from dcf_assumptions.md / analyst model</t>
      </text>
    </comment>
    <comment ref="E39" authorId="0" shapeId="0">
      <text>
        <t>Source: Bear case assumption from dcf_assumptions.md / analyst model</t>
      </text>
    </comment>
    <comment ref="F39" authorId="0" shapeId="0">
      <text>
        <t>Source: Bear case assumption from dcf_assumptions.md / analyst model</t>
      </text>
    </comment>
    <comment ref="G39" authorId="0" shapeId="0">
      <text>
        <t>Source: Bear case assumption from dcf_assumptions.md / analyst model</t>
      </text>
    </comment>
    <comment ref="H39" authorId="0" shapeId="0">
      <text>
        <t>Source: Bear case assumption from dcf_assumptions.md / analyst model</t>
      </text>
    </comment>
    <comment ref="I39" authorId="0" shapeId="0">
      <text>
        <t>Source: Bear case assumption from dcf_assumptions.md / analyst model</t>
      </text>
    </comment>
    <comment ref="J39" authorId="0" shapeId="0">
      <text>
        <t>Source: Bear case assumption from dcf_assumptions.md / analyst model</t>
      </text>
    </comment>
    <comment ref="K39" authorId="0" shapeId="0">
      <text>
        <t>Source: Bear case assumption from dcf_assumptions.md / analyst model</t>
      </text>
    </comment>
    <comment ref="B40" authorId="0" shapeId="0">
      <text>
        <t>Source: Bear case assumption from dcf_assumptions.md / analyst model</t>
      </text>
    </comment>
    <comment ref="C40" authorId="0" shapeId="0">
      <text>
        <t>Source: Bear case assumption from dcf_assumptions.md / analyst model</t>
      </text>
    </comment>
    <comment ref="D40" authorId="0" shapeId="0">
      <text>
        <t>Source: Bear case assumption from dcf_assumptions.md / analyst model</t>
      </text>
    </comment>
    <comment ref="E40" authorId="0" shapeId="0">
      <text>
        <t>Source: Bear case assumption from dcf_assumptions.md / analyst model</t>
      </text>
    </comment>
    <comment ref="F40" authorId="0" shapeId="0">
      <text>
        <t>Source: Bear case assumption from dcf_assumptions.md / analyst model</t>
      </text>
    </comment>
    <comment ref="G40" authorId="0" shapeId="0">
      <text>
        <t>Source: Bear case assumption from dcf_assumptions.md / analyst model</t>
      </text>
    </comment>
    <comment ref="H40" authorId="0" shapeId="0">
      <text>
        <t>Source: Bear case assumption from dcf_assumptions.md / analyst model</t>
      </text>
    </comment>
    <comment ref="I40" authorId="0" shapeId="0">
      <text>
        <t>Source: Bear case assumption from dcf_assumptions.md / analyst model</t>
      </text>
    </comment>
    <comment ref="J40" authorId="0" shapeId="0">
      <text>
        <t>Source: Bear case assumption from dcf_assumptions.md / analyst model</t>
      </text>
    </comment>
    <comment ref="K40" authorId="0" shapeId="0">
      <text>
        <t>Source: Bear case assumption from dcf_assumptions.md / analyst model</t>
      </text>
    </comment>
    <comment ref="B41" authorId="0" shapeId="0">
      <text>
        <t>Source: Bear case assumption / valuation framework</t>
      </text>
    </comment>
    <comment ref="B42" authorId="0" shapeId="0">
      <text>
        <t>Source: Bear case assumption / valuation framework</t>
      </text>
    </comment>
    <comment ref="B45" authorId="0" shapeId="0">
      <text>
        <t>Source: Base case assumption from dcf_assumptions.md / analyst model</t>
      </text>
    </comment>
    <comment ref="C45" authorId="0" shapeId="0">
      <text>
        <t>Source: Base case assumption from dcf_assumptions.md / analyst model</t>
      </text>
    </comment>
    <comment ref="D45" authorId="0" shapeId="0">
      <text>
        <t>Source: Base case assumption from dcf_assumptions.md / analyst model</t>
      </text>
    </comment>
    <comment ref="E45" authorId="0" shapeId="0">
      <text>
        <t>Source: Base case assumption from dcf_assumptions.md / analyst model</t>
      </text>
    </comment>
    <comment ref="F45" authorId="0" shapeId="0">
      <text>
        <t>Source: Base case assumption from dcf_assumptions.md / analyst model</t>
      </text>
    </comment>
    <comment ref="G45" authorId="0" shapeId="0">
      <text>
        <t>Source: Base case assumption from dcf_assumptions.md / analyst model</t>
      </text>
    </comment>
    <comment ref="H45" authorId="0" shapeId="0">
      <text>
        <t>Source: Base case assumption from dcf_assumptions.md / analyst model</t>
      </text>
    </comment>
    <comment ref="I45" authorId="0" shapeId="0">
      <text>
        <t>Source: Base case assumption from dcf_assumptions.md / analyst model</t>
      </text>
    </comment>
    <comment ref="J45" authorId="0" shapeId="0">
      <text>
        <t>Source: Base case assumption from dcf_assumptions.md / analyst model</t>
      </text>
    </comment>
    <comment ref="K45" authorId="0" shapeId="0">
      <text>
        <t>Source: Base case assumption from dcf_assumptions.md / analyst model</t>
      </text>
    </comment>
    <comment ref="B46" authorId="0" shapeId="0">
      <text>
        <t>Source: Base case assumption from dcf_assumptions.md / analyst model</t>
      </text>
    </comment>
    <comment ref="C46" authorId="0" shapeId="0">
      <text>
        <t>Source: Base case assumption from dcf_assumptions.md / analyst model</t>
      </text>
    </comment>
    <comment ref="D46" authorId="0" shapeId="0">
      <text>
        <t>Source: Base case assumption from dcf_assumptions.md / analyst model</t>
      </text>
    </comment>
    <comment ref="E46" authorId="0" shapeId="0">
      <text>
        <t>Source: Base case assumption from dcf_assumptions.md / analyst model</t>
      </text>
    </comment>
    <comment ref="F46" authorId="0" shapeId="0">
      <text>
        <t>Source: Base case assumption from dcf_assumptions.md / analyst model</t>
      </text>
    </comment>
    <comment ref="G46" authorId="0" shapeId="0">
      <text>
        <t>Source: Base case assumption from dcf_assumptions.md / analyst model</t>
      </text>
    </comment>
    <comment ref="H46" authorId="0" shapeId="0">
      <text>
        <t>Source: Base case assumption from dcf_assumptions.md / analyst model</t>
      </text>
    </comment>
    <comment ref="I46" authorId="0" shapeId="0">
      <text>
        <t>Source: Base case assumption from dcf_assumptions.md / analyst model</t>
      </text>
    </comment>
    <comment ref="J46" authorId="0" shapeId="0">
      <text>
        <t>Source: Base case assumption from dcf_assumptions.md / analyst model</t>
      </text>
    </comment>
    <comment ref="K46" authorId="0" shapeId="0">
      <text>
        <t>Source: Base case assumption from dcf_assumptions.md / analyst model</t>
      </text>
    </comment>
    <comment ref="B47" authorId="0" shapeId="0">
      <text>
        <t>Source: Base case assumption from dcf_assumptions.md / analyst model</t>
      </text>
    </comment>
    <comment ref="C47" authorId="0" shapeId="0">
      <text>
        <t>Source: Base case assumption from dcf_assumptions.md / analyst model</t>
      </text>
    </comment>
    <comment ref="D47" authorId="0" shapeId="0">
      <text>
        <t>Source: Base case assumption from dcf_assumptions.md / analyst model</t>
      </text>
    </comment>
    <comment ref="E47" authorId="0" shapeId="0">
      <text>
        <t>Source: Base case assumption from dcf_assumptions.md / analyst model</t>
      </text>
    </comment>
    <comment ref="F47" authorId="0" shapeId="0">
      <text>
        <t>Source: Base case assumption from dcf_assumptions.md / analyst model</t>
      </text>
    </comment>
    <comment ref="G47" authorId="0" shapeId="0">
      <text>
        <t>Source: Base case assumption from dcf_assumptions.md / analyst model</t>
      </text>
    </comment>
    <comment ref="H47" authorId="0" shapeId="0">
      <text>
        <t>Source: Base case assumption from dcf_assumptions.md / analyst model</t>
      </text>
    </comment>
    <comment ref="I47" authorId="0" shapeId="0">
      <text>
        <t>Source: Base case assumption from dcf_assumptions.md / analyst model</t>
      </text>
    </comment>
    <comment ref="J47" authorId="0" shapeId="0">
      <text>
        <t>Source: Base case assumption from dcf_assumptions.md / analyst model</t>
      </text>
    </comment>
    <comment ref="K47" authorId="0" shapeId="0">
      <text>
        <t>Source: Base case assumption from dcf_assumptions.md / analyst model</t>
      </text>
    </comment>
    <comment ref="B48" authorId="0" shapeId="0">
      <text>
        <t>Source: Base case assumption from dcf_assumptions.md / analyst model</t>
      </text>
    </comment>
    <comment ref="C48" authorId="0" shapeId="0">
      <text>
        <t>Source: Base case assumption from dcf_assumptions.md / analyst model</t>
      </text>
    </comment>
    <comment ref="D48" authorId="0" shapeId="0">
      <text>
        <t>Source: Base case assumption from dcf_assumptions.md / analyst model</t>
      </text>
    </comment>
    <comment ref="E48" authorId="0" shapeId="0">
      <text>
        <t>Source: Base case assumption from dcf_assumptions.md / analyst model</t>
      </text>
    </comment>
    <comment ref="F48" authorId="0" shapeId="0">
      <text>
        <t>Source: Base case assumption from dcf_assumptions.md / analyst model</t>
      </text>
    </comment>
    <comment ref="G48" authorId="0" shapeId="0">
      <text>
        <t>Source: Base case assumption from dcf_assumptions.md / analyst model</t>
      </text>
    </comment>
    <comment ref="H48" authorId="0" shapeId="0">
      <text>
        <t>Source: Base case assumption from dcf_assumptions.md / analyst model</t>
      </text>
    </comment>
    <comment ref="I48" authorId="0" shapeId="0">
      <text>
        <t>Source: Base case assumption from dcf_assumptions.md / analyst model</t>
      </text>
    </comment>
    <comment ref="J48" authorId="0" shapeId="0">
      <text>
        <t>Source: Base case assumption from dcf_assumptions.md / analyst model</t>
      </text>
    </comment>
    <comment ref="K48" authorId="0" shapeId="0">
      <text>
        <t>Source: Base case assumption from dcf_assumptions.md / analyst model</t>
      </text>
    </comment>
    <comment ref="B49" authorId="0" shapeId="0">
      <text>
        <t>Source: Base case assumption from dcf_assumptions.md / analyst model</t>
      </text>
    </comment>
    <comment ref="C49" authorId="0" shapeId="0">
      <text>
        <t>Source: Base case assumption from dcf_assumptions.md / analyst model</t>
      </text>
    </comment>
    <comment ref="D49" authorId="0" shapeId="0">
      <text>
        <t>Source: Base case assumption from dcf_assumptions.md / analyst model</t>
      </text>
    </comment>
    <comment ref="E49" authorId="0" shapeId="0">
      <text>
        <t>Source: Base case assumption from dcf_assumptions.md / analyst model</t>
      </text>
    </comment>
    <comment ref="F49" authorId="0" shapeId="0">
      <text>
        <t>Source: Base case assumption from dcf_assumptions.md / analyst model</t>
      </text>
    </comment>
    <comment ref="G49" authorId="0" shapeId="0">
      <text>
        <t>Source: Base case assumption from dcf_assumptions.md / analyst model</t>
      </text>
    </comment>
    <comment ref="H49" authorId="0" shapeId="0">
      <text>
        <t>Source: Base case assumption from dcf_assumptions.md / analyst model</t>
      </text>
    </comment>
    <comment ref="I49" authorId="0" shapeId="0">
      <text>
        <t>Source: Base case assumption from dcf_assumptions.md / analyst model</t>
      </text>
    </comment>
    <comment ref="J49" authorId="0" shapeId="0">
      <text>
        <t>Source: Base case assumption from dcf_assumptions.md / analyst model</t>
      </text>
    </comment>
    <comment ref="K49" authorId="0" shapeId="0">
      <text>
        <t>Source: Base case assumption from dcf_assumptions.md / analyst model</t>
      </text>
    </comment>
    <comment ref="B50" authorId="0" shapeId="0">
      <text>
        <t>Source: Base case assumption from dcf_assumptions.md / analyst model</t>
      </text>
    </comment>
    <comment ref="C50" authorId="0" shapeId="0">
      <text>
        <t>Source: Base case assumption from dcf_assumptions.md / analyst model</t>
      </text>
    </comment>
    <comment ref="D50" authorId="0" shapeId="0">
      <text>
        <t>Source: Base case assumption from dcf_assumptions.md / analyst model</t>
      </text>
    </comment>
    <comment ref="E50" authorId="0" shapeId="0">
      <text>
        <t>Source: Base case assumption from dcf_assumptions.md / analyst model</t>
      </text>
    </comment>
    <comment ref="F50" authorId="0" shapeId="0">
      <text>
        <t>Source: Base case assumption from dcf_assumptions.md / analyst model</t>
      </text>
    </comment>
    <comment ref="G50" authorId="0" shapeId="0">
      <text>
        <t>Source: Base case assumption from dcf_assumptions.md / analyst model</t>
      </text>
    </comment>
    <comment ref="H50" authorId="0" shapeId="0">
      <text>
        <t>Source: Base case assumption from dcf_assumptions.md / analyst model</t>
      </text>
    </comment>
    <comment ref="I50" authorId="0" shapeId="0">
      <text>
        <t>Source: Base case assumption from dcf_assumptions.md / analyst model</t>
      </text>
    </comment>
    <comment ref="J50" authorId="0" shapeId="0">
      <text>
        <t>Source: Base case assumption from dcf_assumptions.md / analyst model</t>
      </text>
    </comment>
    <comment ref="K50" authorId="0" shapeId="0">
      <text>
        <t>Source: Base case assumption from dcf_assumptions.md / analyst model</t>
      </text>
    </comment>
    <comment ref="B51" authorId="0" shapeId="0">
      <text>
        <t>Source: Base case assumption from dcf_assumptions.md / analyst model</t>
      </text>
    </comment>
    <comment ref="C51" authorId="0" shapeId="0">
      <text>
        <t>Source: Base case assumption from dcf_assumptions.md / analyst model</t>
      </text>
    </comment>
    <comment ref="D51" authorId="0" shapeId="0">
      <text>
        <t>Source: Base case assumption from dcf_assumptions.md / analyst model</t>
      </text>
    </comment>
    <comment ref="E51" authorId="0" shapeId="0">
      <text>
        <t>Source: Base case assumption from dcf_assumptions.md / analyst model</t>
      </text>
    </comment>
    <comment ref="F51" authorId="0" shapeId="0">
      <text>
        <t>Source: Base case assumption from dcf_assumptions.md / analyst model</t>
      </text>
    </comment>
    <comment ref="G51" authorId="0" shapeId="0">
      <text>
        <t>Source: Base case assumption from dcf_assumptions.md / analyst model</t>
      </text>
    </comment>
    <comment ref="H51" authorId="0" shapeId="0">
      <text>
        <t>Source: Base case assumption from dcf_assumptions.md / analyst model</t>
      </text>
    </comment>
    <comment ref="I51" authorId="0" shapeId="0">
      <text>
        <t>Source: Base case assumption from dcf_assumptions.md / analyst model</t>
      </text>
    </comment>
    <comment ref="J51" authorId="0" shapeId="0">
      <text>
        <t>Source: Base case assumption from dcf_assumptions.md / analyst model</t>
      </text>
    </comment>
    <comment ref="K51" authorId="0" shapeId="0">
      <text>
        <t>Source: Base case assumption from dcf_assumptions.md / analyst model</t>
      </text>
    </comment>
    <comment ref="B52" authorId="0" shapeId="0">
      <text>
        <t>Source: Base case assumption from dcf_assumptions.md / analyst model</t>
      </text>
    </comment>
    <comment ref="C52" authorId="0" shapeId="0">
      <text>
        <t>Source: Base case assumption from dcf_assumptions.md / analyst model</t>
      </text>
    </comment>
    <comment ref="D52" authorId="0" shapeId="0">
      <text>
        <t>Source: Base case assumption from dcf_assumptions.md / analyst model</t>
      </text>
    </comment>
    <comment ref="E52" authorId="0" shapeId="0">
      <text>
        <t>Source: Base case assumption from dcf_assumptions.md / analyst model</t>
      </text>
    </comment>
    <comment ref="F52" authorId="0" shapeId="0">
      <text>
        <t>Source: Base case assumption from dcf_assumptions.md / analyst model</t>
      </text>
    </comment>
    <comment ref="G52" authorId="0" shapeId="0">
      <text>
        <t>Source: Base case assumption from dcf_assumptions.md / analyst model</t>
      </text>
    </comment>
    <comment ref="H52" authorId="0" shapeId="0">
      <text>
        <t>Source: Base case assumption from dcf_assumptions.md / analyst model</t>
      </text>
    </comment>
    <comment ref="I52" authorId="0" shapeId="0">
      <text>
        <t>Source: Base case assumption from dcf_assumptions.md / analyst model</t>
      </text>
    </comment>
    <comment ref="J52" authorId="0" shapeId="0">
      <text>
        <t>Source: Base case assumption from dcf_assumptions.md / analyst model</t>
      </text>
    </comment>
    <comment ref="K52" authorId="0" shapeId="0">
      <text>
        <t>Source: Base case assumption from dcf_assumptions.md / analyst model</t>
      </text>
    </comment>
    <comment ref="B53" authorId="0" shapeId="0">
      <text>
        <t>Source: Base case assumption / valuation framework</t>
      </text>
    </comment>
    <comment ref="B54" authorId="0" shapeId="0">
      <text>
        <t>Source: Base case assumption / valuation framework</t>
      </text>
    </comment>
    <comment ref="B57" authorId="0" shapeId="0">
      <text>
        <t>Source: Bull case assumption from dcf_assumptions.md / analyst model</t>
      </text>
    </comment>
    <comment ref="C57" authorId="0" shapeId="0">
      <text>
        <t>Source: Bull case assumption from dcf_assumptions.md / analyst model</t>
      </text>
    </comment>
    <comment ref="D57" authorId="0" shapeId="0">
      <text>
        <t>Source: Bull case assumption from dcf_assumptions.md / analyst model</t>
      </text>
    </comment>
    <comment ref="E57" authorId="0" shapeId="0">
      <text>
        <t>Source: Bull case assumption from dcf_assumptions.md / analyst model</t>
      </text>
    </comment>
    <comment ref="F57" authorId="0" shapeId="0">
      <text>
        <t>Source: Bull case assumption from dcf_assumptions.md / analyst model</t>
      </text>
    </comment>
    <comment ref="G57" authorId="0" shapeId="0">
      <text>
        <t>Source: Bull case assumption from dcf_assumptions.md / analyst model</t>
      </text>
    </comment>
    <comment ref="H57" authorId="0" shapeId="0">
      <text>
        <t>Source: Bull case assumption from dcf_assumptions.md / analyst model</t>
      </text>
    </comment>
    <comment ref="I57" authorId="0" shapeId="0">
      <text>
        <t>Source: Bull case assumption from dcf_assumptions.md / analyst model</t>
      </text>
    </comment>
    <comment ref="J57" authorId="0" shapeId="0">
      <text>
        <t>Source: Bull case assumption from dcf_assumptions.md / analyst model</t>
      </text>
    </comment>
    <comment ref="K57" authorId="0" shapeId="0">
      <text>
        <t>Source: Bull case assumption from dcf_assumptions.md / analyst model</t>
      </text>
    </comment>
    <comment ref="B58" authorId="0" shapeId="0">
      <text>
        <t>Source: Bull case assumption from dcf_assumptions.md / analyst model</t>
      </text>
    </comment>
    <comment ref="C58" authorId="0" shapeId="0">
      <text>
        <t>Source: Bull case assumption from dcf_assumptions.md / analyst model</t>
      </text>
    </comment>
    <comment ref="D58" authorId="0" shapeId="0">
      <text>
        <t>Source: Bull case assumption from dcf_assumptions.md / analyst model</t>
      </text>
    </comment>
    <comment ref="E58" authorId="0" shapeId="0">
      <text>
        <t>Source: Bull case assumption from dcf_assumptions.md / analyst model</t>
      </text>
    </comment>
    <comment ref="F58" authorId="0" shapeId="0">
      <text>
        <t>Source: Bull case assumption from dcf_assumptions.md / analyst model</t>
      </text>
    </comment>
    <comment ref="G58" authorId="0" shapeId="0">
      <text>
        <t>Source: Bull case assumption from dcf_assumptions.md / analyst model</t>
      </text>
    </comment>
    <comment ref="H58" authorId="0" shapeId="0">
      <text>
        <t>Source: Bull case assumption from dcf_assumptions.md / analyst model</t>
      </text>
    </comment>
    <comment ref="I58" authorId="0" shapeId="0">
      <text>
        <t>Source: Bull case assumption from dcf_assumptions.md / analyst model</t>
      </text>
    </comment>
    <comment ref="J58" authorId="0" shapeId="0">
      <text>
        <t>Source: Bull case assumption from dcf_assumptions.md / analyst model</t>
      </text>
    </comment>
    <comment ref="K58" authorId="0" shapeId="0">
      <text>
        <t>Source: Bull case assumption from dcf_assumptions.md / analyst model</t>
      </text>
    </comment>
    <comment ref="B59" authorId="0" shapeId="0">
      <text>
        <t>Source: Bull case assumption from dcf_assumptions.md / analyst model</t>
      </text>
    </comment>
    <comment ref="C59" authorId="0" shapeId="0">
      <text>
        <t>Source: Bull case assumption from dcf_assumptions.md / analyst model</t>
      </text>
    </comment>
    <comment ref="D59" authorId="0" shapeId="0">
      <text>
        <t>Source: Bull case assumption from dcf_assumptions.md / analyst model</t>
      </text>
    </comment>
    <comment ref="E59" authorId="0" shapeId="0">
      <text>
        <t>Source: Bull case assumption from dcf_assumptions.md / analyst model</t>
      </text>
    </comment>
    <comment ref="F59" authorId="0" shapeId="0">
      <text>
        <t>Source: Bull case assumption from dcf_assumptions.md / analyst model</t>
      </text>
    </comment>
    <comment ref="G59" authorId="0" shapeId="0">
      <text>
        <t>Source: Bull case assumption from dcf_assumptions.md / analyst model</t>
      </text>
    </comment>
    <comment ref="H59" authorId="0" shapeId="0">
      <text>
        <t>Source: Bull case assumption from dcf_assumptions.md / analyst model</t>
      </text>
    </comment>
    <comment ref="I59" authorId="0" shapeId="0">
      <text>
        <t>Source: Bull case assumption from dcf_assumptions.md / analyst model</t>
      </text>
    </comment>
    <comment ref="J59" authorId="0" shapeId="0">
      <text>
        <t>Source: Bull case assumption from dcf_assumptions.md / analyst model</t>
      </text>
    </comment>
    <comment ref="K59" authorId="0" shapeId="0">
      <text>
        <t>Source: Bull case assumption from dcf_assumptions.md / analyst model</t>
      </text>
    </comment>
    <comment ref="B60" authorId="0" shapeId="0">
      <text>
        <t>Source: Bull case assumption from dcf_assumptions.md / analyst model</t>
      </text>
    </comment>
    <comment ref="C60" authorId="0" shapeId="0">
      <text>
        <t>Source: Bull case assumption from dcf_assumptions.md / analyst model</t>
      </text>
    </comment>
    <comment ref="D60" authorId="0" shapeId="0">
      <text>
        <t>Source: Bull case assumption from dcf_assumptions.md / analyst model</t>
      </text>
    </comment>
    <comment ref="E60" authorId="0" shapeId="0">
      <text>
        <t>Source: Bull case assumption from dcf_assumptions.md / analyst model</t>
      </text>
    </comment>
    <comment ref="F60" authorId="0" shapeId="0">
      <text>
        <t>Source: Bull case assumption from dcf_assumptions.md / analyst model</t>
      </text>
    </comment>
    <comment ref="G60" authorId="0" shapeId="0">
      <text>
        <t>Source: Bull case assumption from dcf_assumptions.md / analyst model</t>
      </text>
    </comment>
    <comment ref="H60" authorId="0" shapeId="0">
      <text>
        <t>Source: Bull case assumption from dcf_assumptions.md / analyst model</t>
      </text>
    </comment>
    <comment ref="I60" authorId="0" shapeId="0">
      <text>
        <t>Source: Bull case assumption from dcf_assumptions.md / analyst model</t>
      </text>
    </comment>
    <comment ref="J60" authorId="0" shapeId="0">
      <text>
        <t>Source: Bull case assumption from dcf_assumptions.md / analyst model</t>
      </text>
    </comment>
    <comment ref="K60" authorId="0" shapeId="0">
      <text>
        <t>Source: Bull case assumption from dcf_assumptions.md / analyst model</t>
      </text>
    </comment>
    <comment ref="B61" authorId="0" shapeId="0">
      <text>
        <t>Source: Bull case assumption from dcf_assumptions.md / analyst model</t>
      </text>
    </comment>
    <comment ref="C61" authorId="0" shapeId="0">
      <text>
        <t>Source: Bull case assumption from dcf_assumptions.md / analyst model</t>
      </text>
    </comment>
    <comment ref="D61" authorId="0" shapeId="0">
      <text>
        <t>Source: Bull case assumption from dcf_assumptions.md / analyst model</t>
      </text>
    </comment>
    <comment ref="E61" authorId="0" shapeId="0">
      <text>
        <t>Source: Bull case assumption from dcf_assumptions.md / analyst model</t>
      </text>
    </comment>
    <comment ref="F61" authorId="0" shapeId="0">
      <text>
        <t>Source: Bull case assumption from dcf_assumptions.md / analyst model</t>
      </text>
    </comment>
    <comment ref="G61" authorId="0" shapeId="0">
      <text>
        <t>Source: Bull case assumption from dcf_assumptions.md / analyst model</t>
      </text>
    </comment>
    <comment ref="H61" authorId="0" shapeId="0">
      <text>
        <t>Source: Bull case assumption from dcf_assumptions.md / analyst model</t>
      </text>
    </comment>
    <comment ref="I61" authorId="0" shapeId="0">
      <text>
        <t>Source: Bull case assumption from dcf_assumptions.md / analyst model</t>
      </text>
    </comment>
    <comment ref="J61" authorId="0" shapeId="0">
      <text>
        <t>Source: Bull case assumption from dcf_assumptions.md / analyst model</t>
      </text>
    </comment>
    <comment ref="K61" authorId="0" shapeId="0">
      <text>
        <t>Source: Bull case assumption from dcf_assumptions.md / analyst model</t>
      </text>
    </comment>
    <comment ref="B62" authorId="0" shapeId="0">
      <text>
        <t>Source: Bull case assumption from dcf_assumptions.md / analyst model</t>
      </text>
    </comment>
    <comment ref="C62" authorId="0" shapeId="0">
      <text>
        <t>Source: Bull case assumption from dcf_assumptions.md / analyst model</t>
      </text>
    </comment>
    <comment ref="D62" authorId="0" shapeId="0">
      <text>
        <t>Source: Bull case assumption from dcf_assumptions.md / analyst model</t>
      </text>
    </comment>
    <comment ref="E62" authorId="0" shapeId="0">
      <text>
        <t>Source: Bull case assumption from dcf_assumptions.md / analyst model</t>
      </text>
    </comment>
    <comment ref="F62" authorId="0" shapeId="0">
      <text>
        <t>Source: Bull case assumption from dcf_assumptions.md / analyst model</t>
      </text>
    </comment>
    <comment ref="G62" authorId="0" shapeId="0">
      <text>
        <t>Source: Bull case assumption from dcf_assumptions.md / analyst model</t>
      </text>
    </comment>
    <comment ref="H62" authorId="0" shapeId="0">
      <text>
        <t>Source: Bull case assumption from dcf_assumptions.md / analyst model</t>
      </text>
    </comment>
    <comment ref="I62" authorId="0" shapeId="0">
      <text>
        <t>Source: Bull case assumption from dcf_assumptions.md / analyst model</t>
      </text>
    </comment>
    <comment ref="J62" authorId="0" shapeId="0">
      <text>
        <t>Source: Bull case assumption from dcf_assumptions.md / analyst model</t>
      </text>
    </comment>
    <comment ref="K62" authorId="0" shapeId="0">
      <text>
        <t>Source: Bull case assumption from dcf_assumptions.md / analyst model</t>
      </text>
    </comment>
    <comment ref="B63" authorId="0" shapeId="0">
      <text>
        <t>Source: Bull case assumption from dcf_assumptions.md / analyst model</t>
      </text>
    </comment>
    <comment ref="C63" authorId="0" shapeId="0">
      <text>
        <t>Source: Bull case assumption from dcf_assumptions.md / analyst model</t>
      </text>
    </comment>
    <comment ref="D63" authorId="0" shapeId="0">
      <text>
        <t>Source: Bull case assumption from dcf_assumptions.md / analyst model</t>
      </text>
    </comment>
    <comment ref="E63" authorId="0" shapeId="0">
      <text>
        <t>Source: Bull case assumption from dcf_assumptions.md / analyst model</t>
      </text>
    </comment>
    <comment ref="F63" authorId="0" shapeId="0">
      <text>
        <t>Source: Bull case assumption from dcf_assumptions.md / analyst model</t>
      </text>
    </comment>
    <comment ref="G63" authorId="0" shapeId="0">
      <text>
        <t>Source: Bull case assumption from dcf_assumptions.md / analyst model</t>
      </text>
    </comment>
    <comment ref="H63" authorId="0" shapeId="0">
      <text>
        <t>Source: Bull case assumption from dcf_assumptions.md / analyst model</t>
      </text>
    </comment>
    <comment ref="I63" authorId="0" shapeId="0">
      <text>
        <t>Source: Bull case assumption from dcf_assumptions.md / analyst model</t>
      </text>
    </comment>
    <comment ref="J63" authorId="0" shapeId="0">
      <text>
        <t>Source: Bull case assumption from dcf_assumptions.md / analyst model</t>
      </text>
    </comment>
    <comment ref="K63" authorId="0" shapeId="0">
      <text>
        <t>Source: Bull case assumption from dcf_assumptions.md / analyst model</t>
      </text>
    </comment>
    <comment ref="B64" authorId="0" shapeId="0">
      <text>
        <t>Source: Bull case assumption from dcf_assumptions.md / analyst model</t>
      </text>
    </comment>
    <comment ref="C64" authorId="0" shapeId="0">
      <text>
        <t>Source: Bull case assumption from dcf_assumptions.md / analyst model</t>
      </text>
    </comment>
    <comment ref="D64" authorId="0" shapeId="0">
      <text>
        <t>Source: Bull case assumption from dcf_assumptions.md / analyst model</t>
      </text>
    </comment>
    <comment ref="E64" authorId="0" shapeId="0">
      <text>
        <t>Source: Bull case assumption from dcf_assumptions.md / analyst model</t>
      </text>
    </comment>
    <comment ref="F64" authorId="0" shapeId="0">
      <text>
        <t>Source: Bull case assumption from dcf_assumptions.md / analyst model</t>
      </text>
    </comment>
    <comment ref="G64" authorId="0" shapeId="0">
      <text>
        <t>Source: Bull case assumption from dcf_assumptions.md / analyst model</t>
      </text>
    </comment>
    <comment ref="H64" authorId="0" shapeId="0">
      <text>
        <t>Source: Bull case assumption from dcf_assumptions.md / analyst model</t>
      </text>
    </comment>
    <comment ref="I64" authorId="0" shapeId="0">
      <text>
        <t>Source: Bull case assumption from dcf_assumptions.md / analyst model</t>
      </text>
    </comment>
    <comment ref="J64" authorId="0" shapeId="0">
      <text>
        <t>Source: Bull case assumption from dcf_assumptions.md / analyst model</t>
      </text>
    </comment>
    <comment ref="K64" authorId="0" shapeId="0">
      <text>
        <t>Source: Bull case assumption from dcf_assumptions.md / analyst model</t>
      </text>
    </comment>
    <comment ref="B65" authorId="0" shapeId="0">
      <text>
        <t>Source: Bull case assumption / valuation framework</t>
      </text>
    </comment>
    <comment ref="B66" authorId="0" shapeId="0">
      <text>
        <t>Source: Bull case assumption / valuation framework</t>
      </text>
    </comment>
    <comment ref="B71" authorId="0" shapeId="0">
      <text>
        <t>Source: Shopify filings / normalized web financials FY2022</t>
      </text>
    </comment>
    <comment ref="C71" authorId="0" shapeId="0">
      <text>
        <t>Source: Shopify filings / normalized web financials FY2023</t>
      </text>
    </comment>
    <comment ref="D71" authorId="0" shapeId="0">
      <text>
        <t>Source: Shopify filings / normalized web financials FY2024</t>
      </text>
    </comment>
    <comment ref="E71" authorId="0" shapeId="0">
      <text>
        <t>Source: Shopify filings / normalized web financials FY2025</t>
      </text>
    </comment>
    <comment ref="B73" authorId="0" shapeId="0">
      <text>
        <t>Source: Shopify filings / Koyfin FY2022</t>
      </text>
    </comment>
    <comment ref="C73" authorId="0" shapeId="0">
      <text>
        <t>Source: Shopify filings / Koyfin FY2023</t>
      </text>
    </comment>
    <comment ref="D73" authorId="0" shapeId="0">
      <text>
        <t>Source: Shopify filings / Koyfin FY2024</t>
      </text>
    </comment>
    <comment ref="E73" authorId="0" shapeId="0">
      <text>
        <t>Source: Shopify filings / Koyfin FY2025</t>
      </text>
    </comment>
    <comment ref="B75" authorId="0" shapeId="0">
      <text>
        <t>Source: Shopify filings / Koyfin FY2022</t>
      </text>
    </comment>
    <comment ref="C75" authorId="0" shapeId="0">
      <text>
        <t>Source: Shopify filings / Koyfin FY2023</t>
      </text>
    </comment>
    <comment ref="D75" authorId="0" shapeId="0">
      <text>
        <t>Source: Shopify filings / Koyfin FY2024</t>
      </text>
    </comment>
    <comment ref="E75" authorId="0" shapeId="0">
      <text>
        <t>Source: Shopify filings / Koyfin FY2025</t>
      </text>
    </comment>
    <comment ref="B77" authorId="0" shapeId="0">
      <text>
        <t>Source: Estimated normalized cash tax for FY2022</t>
      </text>
    </comment>
    <comment ref="C77" authorId="0" shapeId="0">
      <text>
        <t>Source: Estimated normalized cash tax for FY2023</t>
      </text>
    </comment>
    <comment ref="D77" authorId="0" shapeId="0">
      <text>
        <t>Source: Estimated normalized cash tax for FY2024</t>
      </text>
    </comment>
    <comment ref="E77" authorId="0" shapeId="0">
      <text>
        <t>Source: Estimated normalized cash tax for FY2025</t>
      </text>
    </comment>
    <comment ref="B79" authorId="0" shapeId="0">
      <text>
        <t>Source: Estimated D&amp;A at 0.8% revenue for FY2022</t>
      </text>
    </comment>
    <comment ref="C79" authorId="0" shapeId="0">
      <text>
        <t>Source: Estimated D&amp;A at 0.8% revenue for FY2023</t>
      </text>
    </comment>
    <comment ref="D79" authorId="0" shapeId="0">
      <text>
        <t>Source: Estimated D&amp;A at 0.8% revenue for FY2024</t>
      </text>
    </comment>
    <comment ref="E79" authorId="0" shapeId="0">
      <text>
        <t>Source: Estimated D&amp;A at 0.8% revenue for FY2025</t>
      </text>
    </comment>
    <comment ref="B80" authorId="0" shapeId="0">
      <text>
        <t>Source: Estimated capex at 0.3% revenue for FY2022</t>
      </text>
    </comment>
    <comment ref="C80" authorId="0" shapeId="0">
      <text>
        <t>Source: Estimated capex at 0.3% revenue for FY2023</t>
      </text>
    </comment>
    <comment ref="D80" authorId="0" shapeId="0">
      <text>
        <t>Source: Estimated capex at 0.3% revenue for FY2024</t>
      </text>
    </comment>
    <comment ref="E80" authorId="0" shapeId="0">
      <text>
        <t>Source: Estimated capex at 0.3% revenue for FY2025</t>
      </text>
    </comment>
    <comment ref="B81" authorId="0" shapeId="0">
      <text>
        <t>Source: Estimated NWC use at 0.5% of revenue growth FY2022</t>
      </text>
    </comment>
    <comment ref="C81" authorId="0" shapeId="0">
      <text>
        <t>Source: Estimated NWC use at 0.5% of revenue growth FY2023</t>
      </text>
    </comment>
    <comment ref="D81" authorId="0" shapeId="0">
      <text>
        <t>Source: Estimated NWC use at 0.5% of revenue growth FY2024</t>
      </text>
    </comment>
    <comment ref="E81" authorId="0" shapeId="0">
      <text>
        <t>Source: Estimated NWC use at 0.5% of revenue growth FY2025</t>
      </text>
    </comment>
    <comment ref="B82" authorId="0" shapeId="0">
      <text>
        <t>Source: Shopify filings / normalized web financials FY2022</t>
      </text>
    </comment>
    <comment ref="C82" authorId="0" shapeId="0">
      <text>
        <t>Source: Shopify filings / normalized web financials FY2023</t>
      </text>
    </comment>
    <comment ref="D82" authorId="0" shapeId="0">
      <text>
        <t>Source: Shopify filings / normalized web financials FY2024</t>
      </text>
    </comment>
    <comment ref="E82" authorId="0" shapeId="0">
      <text>
        <t>Source: Shopify filings / normalized web financials FY2025</t>
      </text>
    </comment>
    <comment ref="B89" authorId="0" shapeId="0">
      <text>
        <t>Source: Mid-year convention assumption</t>
      </text>
    </comment>
    <comment ref="C89" authorId="0" shapeId="0">
      <text>
        <t>Source: Mid-year convention assumption</t>
      </text>
    </comment>
    <comment ref="D89" authorId="0" shapeId="0">
      <text>
        <t>Source: Mid-year convention assumption</t>
      </text>
    </comment>
    <comment ref="E89" authorId="0" shapeId="0">
      <text>
        <t>Source: Mid-year convention assumption</t>
      </text>
    </comment>
    <comment ref="F89" authorId="0" shapeId="0">
      <text>
        <t>Source: Mid-year convention assumption</t>
      </text>
    </comment>
    <comment ref="G89" authorId="0" shapeId="0">
      <text>
        <t>Source: Mid-year convention assumption</t>
      </text>
    </comment>
    <comment ref="H89" authorId="0" shapeId="0">
      <text>
        <t>Source: Mid-year convention assumption</t>
      </text>
    </comment>
    <comment ref="I89" authorId="0" shapeId="0">
      <text>
        <t>Source: Mid-year convention assumption</t>
      </text>
    </comment>
    <comment ref="J89" authorId="0" shapeId="0">
      <text>
        <t>Source: Mid-year convention assumption</t>
      </text>
    </comment>
    <comment ref="K89" authorId="0" shapeId="0">
      <text>
        <t>Source: Mid-year convention assumption</t>
      </text>
    </comment>
  </commentList>
</comments>
</file>

<file path=xl/comments/comment2.xml><?xml version="1.0" encoding="utf-8"?>
<comments xmlns="http://schemas.openxmlformats.org/spreadsheetml/2006/main">
  <authors>
    <author>pi</author>
  </authors>
  <commentList>
    <comment ref="B5" authorId="0" shapeId="0">
      <text>
        <t>Source: Analyst recommendation from report.md</t>
      </text>
    </comment>
    <comment ref="B9" authorId="0" shapeId="0">
      <text>
        <t>Source: Koyfin / valuation framework, 2026-05-23</t>
      </text>
    </comment>
    <comment ref="B10" authorId="0" shapeId="0">
      <text>
        <t>Source: Koyfin / valuation framework, 2026-05-23</t>
      </text>
    </comment>
    <comment ref="B11" authorId="0" shapeId="0">
      <text>
        <t>Source: Koyfin / valuation framework, 2026-05-23</t>
      </text>
    </comment>
    <comment ref="B16" authorId="0" shapeId="0">
      <text>
        <t>Source: Scenario assumption</t>
      </text>
    </comment>
    <comment ref="C16" authorId="0" shapeId="0">
      <text>
        <t>Source: Scenario assumption</t>
      </text>
    </comment>
    <comment ref="D16" authorId="0" shapeId="0">
      <text>
        <t>Source: Scenario assumption</t>
      </text>
    </comment>
    <comment ref="E16" authorId="0" shapeId="0">
      <text>
        <t>Source: DCF sensitivity / model output</t>
      </text>
    </comment>
    <comment ref="B17" authorId="0" shapeId="0">
      <text>
        <t>Source: Scenario assumption</t>
      </text>
    </comment>
    <comment ref="C17" authorId="0" shapeId="0">
      <text>
        <t>Source: Scenario assumption</t>
      </text>
    </comment>
    <comment ref="D17" authorId="0" shapeId="0">
      <text>
        <t>Source: Scenario assumption</t>
      </text>
    </comment>
    <comment ref="E17" authorId="0" shapeId="0">
      <text>
        <t>Source: DCF sensitivity / model output</t>
      </text>
    </comment>
    <comment ref="B18" authorId="0" shapeId="0">
      <text>
        <t>Source: Scenario assumption</t>
      </text>
    </comment>
    <comment ref="C18" authorId="0" shapeId="0">
      <text>
        <t>Source: Scenario assumption</t>
      </text>
    </comment>
    <comment ref="D18" authorId="0" shapeId="0">
      <text>
        <t>Source: Scenario assumption</t>
      </text>
    </comment>
    <comment ref="E18" authorId="0" shapeId="0">
      <text>
        <t>Source: DCF sensitivity / model output</t>
      </text>
    </comment>
  </commentList>
</comments>
</file>

<file path=xl/comments/comment3.xml><?xml version="1.0" encoding="utf-8"?>
<comments xmlns="http://schemas.openxmlformats.org/spreadsheetml/2006/main">
  <authors>
    <author>pi</author>
  </authors>
  <commentList>
    <comment ref="B4" authorId="0" shapeId="0">
      <text>
        <t>Source: Shopify filings FY2022</t>
      </text>
    </comment>
    <comment ref="C4" authorId="0" shapeId="0">
      <text>
        <t>Source: Shopify filings FY2023</t>
      </text>
    </comment>
    <comment ref="D4" authorId="0" shapeId="0">
      <text>
        <t>Source: Shopify filings FY2024</t>
      </text>
    </comment>
    <comment ref="E4" authorId="0" shapeId="0">
      <text>
        <t>Source: Shopify filings FY2025</t>
      </text>
    </comment>
    <comment ref="B5" authorId="0" shapeId="0">
      <text>
        <t>Source: Shopify filings FY2022</t>
      </text>
    </comment>
    <comment ref="C5" authorId="0" shapeId="0">
      <text>
        <t>Source: Shopify filings FY2023</t>
      </text>
    </comment>
    <comment ref="D5" authorId="0" shapeId="0">
      <text>
        <t>Source: Shopify filings FY2024</t>
      </text>
    </comment>
    <comment ref="E5" authorId="0" shapeId="0">
      <text>
        <t>Source: Shopify filings FY2025</t>
      </text>
    </comment>
    <comment ref="B8" authorId="0" shapeId="0">
      <text>
        <t>Source: Shopify filings FY2022</t>
      </text>
    </comment>
    <comment ref="C8" authorId="0" shapeId="0">
      <text>
        <t>Source: Shopify filings FY2023</t>
      </text>
    </comment>
    <comment ref="D8" authorId="0" shapeId="0">
      <text>
        <t>Source: Shopify filings FY2024</t>
      </text>
    </comment>
    <comment ref="E8" authorId="0" shapeId="0">
      <text>
        <t>Source: Shopify filings FY2025</t>
      </text>
    </comment>
    <comment ref="B10" authorId="0" shapeId="0">
      <text>
        <t>Source: Shopify filings FY2022</t>
      </text>
    </comment>
    <comment ref="C10" authorId="0" shapeId="0">
      <text>
        <t>Source: Shopify filings FY2023</t>
      </text>
    </comment>
    <comment ref="D10" authorId="0" shapeId="0">
      <text>
        <t>Source: Shopify filings FY2024</t>
      </text>
    </comment>
    <comment ref="E10" authorId="0" shapeId="0">
      <text>
        <t>Source: Shopify filings FY2025</t>
      </text>
    </comment>
  </commentList>
</comments>
</file>

<file path=xl/comments/comment4.xml><?xml version="1.0" encoding="utf-8"?>
<comments xmlns="http://schemas.openxmlformats.org/spreadsheetml/2006/main">
  <authors>
    <author>pi</author>
  </authors>
  <commentList>
    <comment ref="E4" authorId="0" shapeId="0">
      <text>
        <t>Source: Koyfin Q1 2026 balance sheet</t>
      </text>
    </comment>
    <comment ref="E5" authorId="0" shapeId="0">
      <text>
        <t>Source: Koyfin Q1 2026 balance sheet</t>
      </text>
    </comment>
  </commentList>
</comments>
</file>

<file path=xl/comments/comment5.xml><?xml version="1.0" encoding="utf-8"?>
<comments xmlns="http://schemas.openxmlformats.org/spreadsheetml/2006/main">
  <authors>
    <author>pi</author>
  </authors>
  <commentList>
    <comment ref="B5" authorId="0" shapeId="0">
      <text>
        <t>Source: Sensitivity axis assumption</t>
      </text>
    </comment>
    <comment ref="C5" authorId="0" shapeId="0">
      <text>
        <t>Source: Sensitivity axis assumption</t>
      </text>
    </comment>
    <comment ref="D5" authorId="0" shapeId="0">
      <text>
        <t>Source: Sensitivity axis assumption</t>
      </text>
    </comment>
    <comment ref="E5" authorId="0" shapeId="0">
      <text>
        <t>Source: Sensitivity axis assumption</t>
      </text>
    </comment>
    <comment ref="F5" authorId="0" shapeId="0">
      <text>
        <t>Source: Sensitivity axis assumption</t>
      </text>
    </comment>
    <comment ref="A6" authorId="0" shapeId="0">
      <text>
        <t>Source: Sensitivity axis assumption</t>
      </text>
    </comment>
    <comment ref="A7" authorId="0" shapeId="0">
      <text>
        <t>Source: Sensitivity axis assumption</t>
      </text>
    </comment>
    <comment ref="A8" authorId="0" shapeId="0">
      <text>
        <t>Source: Sensitivity axis assumption</t>
      </text>
    </comment>
    <comment ref="A9" authorId="0" shapeId="0">
      <text>
        <t>Source: Sensitivity axis assumption</t>
      </text>
    </comment>
    <comment ref="A10" authorId="0" shapeId="0">
      <text>
        <t>Source: Sensitivity axis assumption</t>
      </text>
    </comment>
    <comment ref="B15" authorId="0" shapeId="0">
      <text>
        <t>Source: Sensitivity axis assumption</t>
      </text>
    </comment>
    <comment ref="C15" authorId="0" shapeId="0">
      <text>
        <t>Source: Sensitivity axis assumption</t>
      </text>
    </comment>
    <comment ref="D15" authorId="0" shapeId="0">
      <text>
        <t>Source: Sensitivity axis assumption</t>
      </text>
    </comment>
    <comment ref="E15" authorId="0" shapeId="0">
      <text>
        <t>Source: Sensitivity axis assumption</t>
      </text>
    </comment>
    <comment ref="F15" authorId="0" shapeId="0">
      <text>
        <t>Source: Sensitivity axis assumption</t>
      </text>
    </comment>
    <comment ref="A16" authorId="0" shapeId="0">
      <text>
        <t>Source: Sensitivity axis assumption</t>
      </text>
    </comment>
    <comment ref="A17" authorId="0" shapeId="0">
      <text>
        <t>Source: Sensitivity axis assumption</t>
      </text>
    </comment>
    <comment ref="A18" authorId="0" shapeId="0">
      <text>
        <t>Source: Sensitivity axis assumption</t>
      </text>
    </comment>
    <comment ref="A19" authorId="0" shapeId="0">
      <text>
        <t>Source: Sensitivity axis assumption</t>
      </text>
    </comment>
    <comment ref="A20" authorId="0" shapeId="0">
      <text>
        <t>Source: Sensitivity axis assumption</t>
      </text>
    </comment>
    <comment ref="B25" authorId="0" shapeId="0">
      <text>
        <t>Source: Sensitivity axis assumption</t>
      </text>
    </comment>
    <comment ref="C25" authorId="0" shapeId="0">
      <text>
        <t>Source: Sensitivity axis assumption</t>
      </text>
    </comment>
    <comment ref="D25" authorId="0" shapeId="0">
      <text>
        <t>Source: Sensitivity axis assumption</t>
      </text>
    </comment>
    <comment ref="E25" authorId="0" shapeId="0">
      <text>
        <t>Source: Sensitivity axis assumption</t>
      </text>
    </comment>
    <comment ref="F25" authorId="0" shapeId="0">
      <text>
        <t>Source: Sensitivity axis assumption</t>
      </text>
    </comment>
    <comment ref="A26" authorId="0" shapeId="0">
      <text>
        <t>Source: Sensitivity axis assumption</t>
      </text>
    </comment>
    <comment ref="A27" authorId="0" shapeId="0">
      <text>
        <t>Source: Sensitivity axis assumption</t>
      </text>
    </comment>
    <comment ref="A28" authorId="0" shapeId="0">
      <text>
        <t>Source: Sensitivity axis assumption</t>
      </text>
    </comment>
    <comment ref="A29" authorId="0" shapeId="0">
      <text>
        <t>Source: Sensitivity axis assumption</t>
      </text>
    </comment>
    <comment ref="A30" authorId="0" shapeId="0">
      <text>
        <t>Source: Sensitivity axis assumption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Shopify Inc. (SHOP) DCF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Ticker: SHOP | Currency: USD millions | Date: 2026-05-23 | Year end: Dec 31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3" t="inlineStr">
        <is>
          <t>Case selector</t>
        </is>
      </c>
      <c r="B4" s="4" t="n">
        <v>2</v>
      </c>
      <c r="C4" s="2" t="inlineStr">
        <is>
          <t>Selected case</t>
        </is>
      </c>
      <c r="D4" s="5">
        <f>CHOOSE($B$4,"Bear","Base","Bull")</f>
        <v/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6" t="inlineStr">
        <is>
          <t>Market data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3" t="inlineStr">
        <is>
          <t>Current share price</t>
        </is>
      </c>
      <c r="B8" s="7" t="n">
        <v>103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3" t="inlineStr">
        <is>
          <t>Shares outstanding (M)</t>
        </is>
      </c>
      <c r="B9" s="8" t="n">
        <v>1300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inlineStr">
        <is>
          <t>Cash &amp; investments</t>
        </is>
      </c>
      <c r="B10" s="9" t="n">
        <v>5740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inlineStr">
        <is>
          <t>Total debt</t>
        </is>
      </c>
      <c r="B11" s="9" t="n">
        <v>179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3" t="inlineStr">
        <is>
          <t>Market cap</t>
        </is>
      </c>
      <c r="B12" s="10">
        <f>B8*B9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" t="inlineStr">
        <is>
          <t>Net cash</t>
        </is>
      </c>
      <c r="B13" s="10">
        <f>B10-B11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6" t="inlineStr">
        <is>
          <t>Selected projection assumptions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11" t="inlineStr">
        <is>
          <t>Assumption</t>
        </is>
      </c>
      <c r="B17" s="12" t="inlineStr">
        <is>
          <t>2026E</t>
        </is>
      </c>
      <c r="C17" s="12" t="inlineStr">
        <is>
          <t>2027E</t>
        </is>
      </c>
      <c r="D17" s="12" t="inlineStr">
        <is>
          <t>2028E</t>
        </is>
      </c>
      <c r="E17" s="12" t="inlineStr">
        <is>
          <t>2029E</t>
        </is>
      </c>
      <c r="F17" s="12" t="inlineStr">
        <is>
          <t>2030E</t>
        </is>
      </c>
      <c r="G17" s="12" t="inlineStr">
        <is>
          <t>2031E</t>
        </is>
      </c>
      <c r="H17" s="12" t="inlineStr">
        <is>
          <t>2032E</t>
        </is>
      </c>
      <c r="I17" s="12" t="inlineStr">
        <is>
          <t>2033E</t>
        </is>
      </c>
      <c r="J17" s="12" t="inlineStr">
        <is>
          <t>2034E</t>
        </is>
      </c>
      <c r="K17" s="12" t="inlineStr">
        <is>
          <t>2035E</t>
        </is>
      </c>
      <c r="L17" s="2" t="n"/>
      <c r="M17" s="2" t="n"/>
      <c r="N17" s="2" t="n"/>
      <c r="O17" s="2" t="n"/>
    </row>
    <row r="18">
      <c r="A18" s="3" t="inlineStr">
        <is>
          <t>Revenue growth</t>
        </is>
      </c>
      <c r="B18" s="13">
        <f>CHOOSE($B$4,B33,B45,B57)</f>
        <v/>
      </c>
      <c r="C18" s="13">
        <f>CHOOSE($B$4,C33,C45,C57)</f>
        <v/>
      </c>
      <c r="D18" s="13">
        <f>CHOOSE($B$4,D33,D45,D57)</f>
        <v/>
      </c>
      <c r="E18" s="13">
        <f>CHOOSE($B$4,E33,E45,E57)</f>
        <v/>
      </c>
      <c r="F18" s="13">
        <f>CHOOSE($B$4,F33,F45,F57)</f>
        <v/>
      </c>
      <c r="G18" s="13">
        <f>CHOOSE($B$4,G33,G45,G57)</f>
        <v/>
      </c>
      <c r="H18" s="13">
        <f>CHOOSE($B$4,H33,H45,H57)</f>
        <v/>
      </c>
      <c r="I18" s="13">
        <f>CHOOSE($B$4,I33,I45,I57)</f>
        <v/>
      </c>
      <c r="J18" s="13">
        <f>CHOOSE($B$4,J33,J45,J57)</f>
        <v/>
      </c>
      <c r="K18" s="13">
        <f>CHOOSE($B$4,K33,K45,K57)</f>
        <v/>
      </c>
      <c r="L18" s="2" t="n"/>
      <c r="M18" s="2" t="n"/>
      <c r="N18" s="2" t="n"/>
      <c r="O18" s="2" t="n"/>
    </row>
    <row r="19">
      <c r="A19" s="3" t="inlineStr">
        <is>
          <t>Gross margin</t>
        </is>
      </c>
      <c r="B19" s="13">
        <f>CHOOSE($B$4,B34,B46,B58)</f>
        <v/>
      </c>
      <c r="C19" s="13">
        <f>CHOOSE($B$4,C34,C46,C58)</f>
        <v/>
      </c>
      <c r="D19" s="13">
        <f>CHOOSE($B$4,D34,D46,D58)</f>
        <v/>
      </c>
      <c r="E19" s="13">
        <f>CHOOSE($B$4,E34,E46,E58)</f>
        <v/>
      </c>
      <c r="F19" s="13">
        <f>CHOOSE($B$4,F34,F46,F58)</f>
        <v/>
      </c>
      <c r="G19" s="13">
        <f>CHOOSE($B$4,G34,G46,G58)</f>
        <v/>
      </c>
      <c r="H19" s="13">
        <f>CHOOSE($B$4,H34,H46,H58)</f>
        <v/>
      </c>
      <c r="I19" s="13">
        <f>CHOOSE($B$4,I34,I46,I58)</f>
        <v/>
      </c>
      <c r="J19" s="13">
        <f>CHOOSE($B$4,J34,J46,J58)</f>
        <v/>
      </c>
      <c r="K19" s="13">
        <f>CHOOSE($B$4,K34,K46,K58)</f>
        <v/>
      </c>
      <c r="L19" s="2" t="n"/>
      <c r="M19" s="2" t="n"/>
      <c r="N19" s="2" t="n"/>
      <c r="O19" s="2" t="n"/>
    </row>
    <row r="20">
      <c r="A20" s="3" t="inlineStr">
        <is>
          <t>EBIT margin</t>
        </is>
      </c>
      <c r="B20" s="13">
        <f>CHOOSE($B$4,B35,B47,B59)</f>
        <v/>
      </c>
      <c r="C20" s="13">
        <f>CHOOSE($B$4,C35,C47,C59)</f>
        <v/>
      </c>
      <c r="D20" s="13">
        <f>CHOOSE($B$4,D35,D47,D59)</f>
        <v/>
      </c>
      <c r="E20" s="13">
        <f>CHOOSE($B$4,E35,E47,E59)</f>
        <v/>
      </c>
      <c r="F20" s="13">
        <f>CHOOSE($B$4,F35,F47,F59)</f>
        <v/>
      </c>
      <c r="G20" s="13">
        <f>CHOOSE($B$4,G35,G47,G59)</f>
        <v/>
      </c>
      <c r="H20" s="13">
        <f>CHOOSE($B$4,H35,H47,H59)</f>
        <v/>
      </c>
      <c r="I20" s="13">
        <f>CHOOSE($B$4,I35,I47,I59)</f>
        <v/>
      </c>
      <c r="J20" s="13">
        <f>CHOOSE($B$4,J35,J47,J59)</f>
        <v/>
      </c>
      <c r="K20" s="13">
        <f>CHOOSE($B$4,K35,K47,K59)</f>
        <v/>
      </c>
      <c r="L20" s="2" t="n"/>
      <c r="M20" s="2" t="n"/>
      <c r="N20" s="2" t="n"/>
      <c r="O20" s="2" t="n"/>
    </row>
    <row r="21">
      <c r="A21" s="3" t="inlineStr">
        <is>
          <t>Cash tax rate</t>
        </is>
      </c>
      <c r="B21" s="13">
        <f>CHOOSE($B$4,B36,B48,B60)</f>
        <v/>
      </c>
      <c r="C21" s="13">
        <f>CHOOSE($B$4,C36,C48,C60)</f>
        <v/>
      </c>
      <c r="D21" s="13">
        <f>CHOOSE($B$4,D36,D48,D60)</f>
        <v/>
      </c>
      <c r="E21" s="13">
        <f>CHOOSE($B$4,E36,E48,E60)</f>
        <v/>
      </c>
      <c r="F21" s="13">
        <f>CHOOSE($B$4,F36,F48,F60)</f>
        <v/>
      </c>
      <c r="G21" s="13">
        <f>CHOOSE($B$4,G36,G48,G60)</f>
        <v/>
      </c>
      <c r="H21" s="13">
        <f>CHOOSE($B$4,H36,H48,H60)</f>
        <v/>
      </c>
      <c r="I21" s="13">
        <f>CHOOSE($B$4,I36,I48,I60)</f>
        <v/>
      </c>
      <c r="J21" s="13">
        <f>CHOOSE($B$4,J36,J48,J60)</f>
        <v/>
      </c>
      <c r="K21" s="13">
        <f>CHOOSE($B$4,K36,K48,K60)</f>
        <v/>
      </c>
      <c r="L21" s="2" t="n"/>
      <c r="M21" s="2" t="n"/>
      <c r="N21" s="2" t="n"/>
      <c r="O21" s="2" t="n"/>
    </row>
    <row r="22">
      <c r="A22" s="3" t="inlineStr">
        <is>
          <t>D&amp;A / revenue</t>
        </is>
      </c>
      <c r="B22" s="13">
        <f>CHOOSE($B$4,B37,B49,B61)</f>
        <v/>
      </c>
      <c r="C22" s="13">
        <f>CHOOSE($B$4,C37,C49,C61)</f>
        <v/>
      </c>
      <c r="D22" s="13">
        <f>CHOOSE($B$4,D37,D49,D61)</f>
        <v/>
      </c>
      <c r="E22" s="13">
        <f>CHOOSE($B$4,E37,E49,E61)</f>
        <v/>
      </c>
      <c r="F22" s="13">
        <f>CHOOSE($B$4,F37,F49,F61)</f>
        <v/>
      </c>
      <c r="G22" s="13">
        <f>CHOOSE($B$4,G37,G49,G61)</f>
        <v/>
      </c>
      <c r="H22" s="13">
        <f>CHOOSE($B$4,H37,H49,H61)</f>
        <v/>
      </c>
      <c r="I22" s="13">
        <f>CHOOSE($B$4,I37,I49,I61)</f>
        <v/>
      </c>
      <c r="J22" s="13">
        <f>CHOOSE($B$4,J37,J49,J61)</f>
        <v/>
      </c>
      <c r="K22" s="13">
        <f>CHOOSE($B$4,K37,K49,K61)</f>
        <v/>
      </c>
      <c r="L22" s="2" t="n"/>
      <c r="M22" s="2" t="n"/>
      <c r="N22" s="2" t="n"/>
      <c r="O22" s="2" t="n"/>
    </row>
    <row r="23">
      <c r="A23" s="3" t="inlineStr">
        <is>
          <t>CapEx / revenue</t>
        </is>
      </c>
      <c r="B23" s="13">
        <f>CHOOSE($B$4,B38,B50,B62)</f>
        <v/>
      </c>
      <c r="C23" s="13">
        <f>CHOOSE($B$4,C38,C50,C62)</f>
        <v/>
      </c>
      <c r="D23" s="13">
        <f>CHOOSE($B$4,D38,D50,D62)</f>
        <v/>
      </c>
      <c r="E23" s="13">
        <f>CHOOSE($B$4,E38,E50,E62)</f>
        <v/>
      </c>
      <c r="F23" s="13">
        <f>CHOOSE($B$4,F38,F50,F62)</f>
        <v/>
      </c>
      <c r="G23" s="13">
        <f>CHOOSE($B$4,G38,G50,G62)</f>
        <v/>
      </c>
      <c r="H23" s="13">
        <f>CHOOSE($B$4,H38,H50,H62)</f>
        <v/>
      </c>
      <c r="I23" s="13">
        <f>CHOOSE($B$4,I38,I50,I62)</f>
        <v/>
      </c>
      <c r="J23" s="13">
        <f>CHOOSE($B$4,J38,J50,J62)</f>
        <v/>
      </c>
      <c r="K23" s="13">
        <f>CHOOSE($B$4,K38,K50,K62)</f>
        <v/>
      </c>
      <c r="L23" s="2" t="n"/>
      <c r="M23" s="2" t="n"/>
      <c r="N23" s="2" t="n"/>
      <c r="O23" s="2" t="n"/>
    </row>
    <row r="24">
      <c r="A24" s="3" t="inlineStr">
        <is>
          <t>NWC / Δ revenue</t>
        </is>
      </c>
      <c r="B24" s="13">
        <f>CHOOSE($B$4,B39,B51,B63)</f>
        <v/>
      </c>
      <c r="C24" s="13">
        <f>CHOOSE($B$4,C39,C51,C63)</f>
        <v/>
      </c>
      <c r="D24" s="13">
        <f>CHOOSE($B$4,D39,D51,D63)</f>
        <v/>
      </c>
      <c r="E24" s="13">
        <f>CHOOSE($B$4,E39,E51,E63)</f>
        <v/>
      </c>
      <c r="F24" s="13">
        <f>CHOOSE($B$4,F39,F51,F63)</f>
        <v/>
      </c>
      <c r="G24" s="13">
        <f>CHOOSE($B$4,G39,G51,G63)</f>
        <v/>
      </c>
      <c r="H24" s="13">
        <f>CHOOSE($B$4,H39,H51,H63)</f>
        <v/>
      </c>
      <c r="I24" s="13">
        <f>CHOOSE($B$4,I39,I51,I63)</f>
        <v/>
      </c>
      <c r="J24" s="13">
        <f>CHOOSE($B$4,J39,J51,J63)</f>
        <v/>
      </c>
      <c r="K24" s="13">
        <f>CHOOSE($B$4,K39,K51,K63)</f>
        <v/>
      </c>
      <c r="L24" s="2" t="n"/>
      <c r="M24" s="2" t="n"/>
      <c r="N24" s="2" t="n"/>
      <c r="O24" s="2" t="n"/>
    </row>
    <row r="25">
      <c r="A25" s="3" t="inlineStr">
        <is>
          <t>Target FCF margin</t>
        </is>
      </c>
      <c r="B25" s="13">
        <f>CHOOSE($B$4,B40,B52,B64)</f>
        <v/>
      </c>
      <c r="C25" s="13">
        <f>CHOOSE($B$4,C40,C52,C64)</f>
        <v/>
      </c>
      <c r="D25" s="13">
        <f>CHOOSE($B$4,D40,D52,D64)</f>
        <v/>
      </c>
      <c r="E25" s="13">
        <f>CHOOSE($B$4,E40,E52,E64)</f>
        <v/>
      </c>
      <c r="F25" s="13">
        <f>CHOOSE($B$4,F40,F52,F64)</f>
        <v/>
      </c>
      <c r="G25" s="13">
        <f>CHOOSE($B$4,G40,G52,G64)</f>
        <v/>
      </c>
      <c r="H25" s="13">
        <f>CHOOSE($B$4,H40,H52,H64)</f>
        <v/>
      </c>
      <c r="I25" s="13">
        <f>CHOOSE($B$4,I40,I52,I64)</f>
        <v/>
      </c>
      <c r="J25" s="13">
        <f>CHOOSE($B$4,J40,J52,J64)</f>
        <v/>
      </c>
      <c r="K25" s="13">
        <f>CHOOSE($B$4,K40,K52,K64)</f>
        <v/>
      </c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6" t="inlineStr">
        <is>
          <t>BEAR CASE ASSUMPTIONS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11" t="inlineStr">
        <is>
          <t>Assumption</t>
        </is>
      </c>
      <c r="B32" s="12" t="inlineStr">
        <is>
          <t>2026E</t>
        </is>
      </c>
      <c r="C32" s="12" t="inlineStr">
        <is>
          <t>2027E</t>
        </is>
      </c>
      <c r="D32" s="12" t="inlineStr">
        <is>
          <t>2028E</t>
        </is>
      </c>
      <c r="E32" s="12" t="inlineStr">
        <is>
          <t>2029E</t>
        </is>
      </c>
      <c r="F32" s="12" t="inlineStr">
        <is>
          <t>2030E</t>
        </is>
      </c>
      <c r="G32" s="12" t="inlineStr">
        <is>
          <t>2031E</t>
        </is>
      </c>
      <c r="H32" s="12" t="inlineStr">
        <is>
          <t>2032E</t>
        </is>
      </c>
      <c r="I32" s="12" t="inlineStr">
        <is>
          <t>2033E</t>
        </is>
      </c>
      <c r="J32" s="12" t="inlineStr">
        <is>
          <t>2034E</t>
        </is>
      </c>
      <c r="K32" s="12" t="inlineStr">
        <is>
          <t>2035E</t>
        </is>
      </c>
      <c r="L32" s="2" t="n"/>
      <c r="M32" s="2" t="n"/>
      <c r="N32" s="2" t="n"/>
      <c r="O32" s="2" t="n"/>
    </row>
    <row r="33">
      <c r="A33" s="3" t="inlineStr">
        <is>
          <t>Revenue growth</t>
        </is>
      </c>
      <c r="B33" s="14" t="n">
        <v>0.24</v>
      </c>
      <c r="C33" s="14" t="n">
        <v>0.2</v>
      </c>
      <c r="D33" s="14" t="n">
        <v>0.18</v>
      </c>
      <c r="E33" s="14" t="n">
        <v>0.14</v>
      </c>
      <c r="F33" s="14" t="n">
        <v>0.12</v>
      </c>
      <c r="G33" s="14" t="n">
        <v>0.1</v>
      </c>
      <c r="H33" s="14" t="n">
        <v>0.08</v>
      </c>
      <c r="I33" s="14" t="n">
        <v>0.06</v>
      </c>
      <c r="J33" s="14" t="n">
        <v>0.05</v>
      </c>
      <c r="K33" s="14" t="n">
        <v>0.04</v>
      </c>
      <c r="L33" s="2" t="n"/>
      <c r="M33" s="2" t="n"/>
      <c r="N33" s="2" t="n"/>
      <c r="O33" s="2" t="n"/>
    </row>
    <row r="34">
      <c r="A34" s="3" t="inlineStr">
        <is>
          <t>Gross margin</t>
        </is>
      </c>
      <c r="B34" s="14" t="n">
        <v>0.47</v>
      </c>
      <c r="C34" s="14" t="n">
        <v>0.465</v>
      </c>
      <c r="D34" s="14" t="n">
        <v>0.46</v>
      </c>
      <c r="E34" s="14" t="n">
        <v>0.458</v>
      </c>
      <c r="F34" s="14" t="n">
        <v>0.456</v>
      </c>
      <c r="G34" s="14" t="n">
        <v>0.454</v>
      </c>
      <c r="H34" s="14" t="n">
        <v>0.452</v>
      </c>
      <c r="I34" s="14" t="n">
        <v>0.45</v>
      </c>
      <c r="J34" s="14" t="n">
        <v>0.45</v>
      </c>
      <c r="K34" s="14" t="n">
        <v>0.45</v>
      </c>
      <c r="L34" s="2" t="n"/>
      <c r="M34" s="2" t="n"/>
      <c r="N34" s="2" t="n"/>
      <c r="O34" s="2" t="n"/>
    </row>
    <row r="35">
      <c r="A35" s="3" t="inlineStr">
        <is>
          <t>EBIT margin</t>
        </is>
      </c>
      <c r="B35" s="14" t="n">
        <v>0.1660975609756098</v>
      </c>
      <c r="C35" s="14" t="n">
        <v>0.1719512195121951</v>
      </c>
      <c r="D35" s="14" t="n">
        <v>0.1779268292682927</v>
      </c>
      <c r="E35" s="14" t="n">
        <v>0.183780487804878</v>
      </c>
      <c r="F35" s="14" t="n">
        <v>0.1897560975609756</v>
      </c>
      <c r="G35" s="14" t="n">
        <v>0.1957317073170732</v>
      </c>
      <c r="H35" s="14" t="n">
        <v>0.2017073170731707</v>
      </c>
      <c r="I35" s="14" t="n">
        <v>0.2015853658536585</v>
      </c>
      <c r="J35" s="14" t="n">
        <v>0.2076219512195122</v>
      </c>
      <c r="K35" s="14" t="n">
        <v>0.2136585365853658</v>
      </c>
      <c r="L35" s="2" t="n"/>
      <c r="M35" s="2" t="n"/>
      <c r="N35" s="2" t="n"/>
      <c r="O35" s="2" t="n"/>
    </row>
    <row r="36">
      <c r="A36" s="3" t="inlineStr">
        <is>
          <t>Cash tax rate</t>
        </is>
      </c>
      <c r="B36" s="14" t="n">
        <v>0.18</v>
      </c>
      <c r="C36" s="14" t="n">
        <v>0.18</v>
      </c>
      <c r="D36" s="14" t="n">
        <v>0.18</v>
      </c>
      <c r="E36" s="14" t="n">
        <v>0.18</v>
      </c>
      <c r="F36" s="14" t="n">
        <v>0.18</v>
      </c>
      <c r="G36" s="14" t="n">
        <v>0.18</v>
      </c>
      <c r="H36" s="14" t="n">
        <v>0.18</v>
      </c>
      <c r="I36" s="14" t="n">
        <v>0.18</v>
      </c>
      <c r="J36" s="14" t="n">
        <v>0.18</v>
      </c>
      <c r="K36" s="14" t="n">
        <v>0.18</v>
      </c>
      <c r="L36" s="2" t="n"/>
      <c r="M36" s="2" t="n"/>
      <c r="N36" s="2" t="n"/>
      <c r="O36" s="2" t="n"/>
    </row>
    <row r="37">
      <c r="A37" s="3" t="inlineStr">
        <is>
          <t>D&amp;A / revenue</t>
        </is>
      </c>
      <c r="B37" s="14" t="n">
        <v>0.008</v>
      </c>
      <c r="C37" s="14" t="n">
        <v>0.008</v>
      </c>
      <c r="D37" s="14" t="n">
        <v>0.008</v>
      </c>
      <c r="E37" s="14" t="n">
        <v>0.008</v>
      </c>
      <c r="F37" s="14" t="n">
        <v>0.008</v>
      </c>
      <c r="G37" s="14" t="n">
        <v>0.008</v>
      </c>
      <c r="H37" s="14" t="n">
        <v>0.008</v>
      </c>
      <c r="I37" s="14" t="n">
        <v>0.008</v>
      </c>
      <c r="J37" s="14" t="n">
        <v>0.008</v>
      </c>
      <c r="K37" s="14" t="n">
        <v>0.008</v>
      </c>
      <c r="L37" s="2" t="n"/>
      <c r="M37" s="2" t="n"/>
      <c r="N37" s="2" t="n"/>
      <c r="O37" s="2" t="n"/>
    </row>
    <row r="38">
      <c r="A38" s="3" t="inlineStr">
        <is>
          <t>CapEx / revenue</t>
        </is>
      </c>
      <c r="B38" s="14" t="n">
        <v>0.003</v>
      </c>
      <c r="C38" s="14" t="n">
        <v>0.003</v>
      </c>
      <c r="D38" s="14" t="n">
        <v>0.003</v>
      </c>
      <c r="E38" s="14" t="n">
        <v>0.003</v>
      </c>
      <c r="F38" s="14" t="n">
        <v>0.003</v>
      </c>
      <c r="G38" s="14" t="n">
        <v>0.003</v>
      </c>
      <c r="H38" s="14" t="n">
        <v>0.003</v>
      </c>
      <c r="I38" s="14" t="n">
        <v>0.003</v>
      </c>
      <c r="J38" s="14" t="n">
        <v>0.003</v>
      </c>
      <c r="K38" s="14" t="n">
        <v>0.003</v>
      </c>
      <c r="L38" s="2" t="n"/>
      <c r="M38" s="2" t="n"/>
      <c r="N38" s="2" t="n"/>
      <c r="O38" s="2" t="n"/>
    </row>
    <row r="39">
      <c r="A39" s="3" t="inlineStr">
        <is>
          <t>NWC / Δ revenue</t>
        </is>
      </c>
      <c r="B39" s="14" t="n">
        <v>0.005</v>
      </c>
      <c r="C39" s="14" t="n">
        <v>0.005</v>
      </c>
      <c r="D39" s="14" t="n">
        <v>0.005</v>
      </c>
      <c r="E39" s="14" t="n">
        <v>0.005</v>
      </c>
      <c r="F39" s="14" t="n">
        <v>0.005</v>
      </c>
      <c r="G39" s="14" t="n">
        <v>0.005</v>
      </c>
      <c r="H39" s="14" t="n">
        <v>0.005</v>
      </c>
      <c r="I39" s="14" t="n">
        <v>0.005</v>
      </c>
      <c r="J39" s="14" t="n">
        <v>0.005</v>
      </c>
      <c r="K39" s="14" t="n">
        <v>0.005</v>
      </c>
      <c r="L39" s="2" t="n"/>
      <c r="M39" s="2" t="n"/>
      <c r="N39" s="2" t="n"/>
      <c r="O39" s="2" t="n"/>
    </row>
    <row r="40">
      <c r="A40" s="3" t="inlineStr">
        <is>
          <t>Target FCF margin</t>
        </is>
      </c>
      <c r="B40" s="14" t="n">
        <v>0.14</v>
      </c>
      <c r="C40" s="14" t="n">
        <v>0.145</v>
      </c>
      <c r="D40" s="14" t="n">
        <v>0.15</v>
      </c>
      <c r="E40" s="14" t="n">
        <v>0.155</v>
      </c>
      <c r="F40" s="14" t="n">
        <v>0.16</v>
      </c>
      <c r="G40" s="14" t="n">
        <v>0.165</v>
      </c>
      <c r="H40" s="14" t="n">
        <v>0.17</v>
      </c>
      <c r="I40" s="14" t="n">
        <v>0.17</v>
      </c>
      <c r="J40" s="14" t="n">
        <v>0.175</v>
      </c>
      <c r="K40" s="14" t="n">
        <v>0.18</v>
      </c>
      <c r="L40" s="2" t="n"/>
      <c r="M40" s="2" t="n"/>
      <c r="N40" s="2" t="n"/>
      <c r="O40" s="2" t="n"/>
    </row>
    <row r="41">
      <c r="A41" s="3" t="inlineStr">
        <is>
          <t>WACC</t>
        </is>
      </c>
      <c r="B41" s="14" t="n">
        <v>0.105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3" t="inlineStr">
        <is>
          <t>Terminal growth</t>
        </is>
      </c>
      <c r="B42" s="14" t="n">
        <v>0.025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6" t="inlineStr">
        <is>
          <t>BASE CASE ASSUMPTIONS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11" t="inlineStr">
        <is>
          <t>Assumption</t>
        </is>
      </c>
      <c r="B44" s="12" t="inlineStr">
        <is>
          <t>2026E</t>
        </is>
      </c>
      <c r="C44" s="12" t="inlineStr">
        <is>
          <t>2027E</t>
        </is>
      </c>
      <c r="D44" s="12" t="inlineStr">
        <is>
          <t>2028E</t>
        </is>
      </c>
      <c r="E44" s="12" t="inlineStr">
        <is>
          <t>2029E</t>
        </is>
      </c>
      <c r="F44" s="12" t="inlineStr">
        <is>
          <t>2030E</t>
        </is>
      </c>
      <c r="G44" s="12" t="inlineStr">
        <is>
          <t>2031E</t>
        </is>
      </c>
      <c r="H44" s="12" t="inlineStr">
        <is>
          <t>2032E</t>
        </is>
      </c>
      <c r="I44" s="12" t="inlineStr">
        <is>
          <t>2033E</t>
        </is>
      </c>
      <c r="J44" s="12" t="inlineStr">
        <is>
          <t>2034E</t>
        </is>
      </c>
      <c r="K44" s="12" t="inlineStr">
        <is>
          <t>2035E</t>
        </is>
      </c>
      <c r="L44" s="2" t="n"/>
      <c r="M44" s="2" t="n"/>
      <c r="N44" s="2" t="n"/>
      <c r="O44" s="2" t="n"/>
    </row>
    <row r="45">
      <c r="A45" s="3" t="inlineStr">
        <is>
          <t>Revenue growth</t>
        </is>
      </c>
      <c r="B45" s="14" t="n">
        <v>0.2805</v>
      </c>
      <c r="C45" s="14" t="n">
        <v>0.238</v>
      </c>
      <c r="D45" s="14" t="n">
        <v>0.252</v>
      </c>
      <c r="E45" s="14" t="n">
        <v>0.2</v>
      </c>
      <c r="F45" s="14" t="n">
        <v>0.17</v>
      </c>
      <c r="G45" s="14" t="n">
        <v>0.14</v>
      </c>
      <c r="H45" s="14" t="n">
        <v>0.11</v>
      </c>
      <c r="I45" s="14" t="n">
        <v>0.09</v>
      </c>
      <c r="J45" s="14" t="n">
        <v>0.07000000000000001</v>
      </c>
      <c r="K45" s="14" t="n">
        <v>0.05</v>
      </c>
      <c r="L45" s="2" t="n"/>
      <c r="M45" s="2" t="n"/>
      <c r="N45" s="2" t="n"/>
      <c r="O45" s="2" t="n"/>
    </row>
    <row r="46">
      <c r="A46" s="3" t="inlineStr">
        <is>
          <t>Gross margin</t>
        </is>
      </c>
      <c r="B46" s="14" t="n">
        <v>0.485</v>
      </c>
      <c r="C46" s="14" t="n">
        <v>0.482</v>
      </c>
      <c r="D46" s="14" t="n">
        <v>0.48</v>
      </c>
      <c r="E46" s="14" t="n">
        <v>0.478</v>
      </c>
      <c r="F46" s="14" t="n">
        <v>0.476</v>
      </c>
      <c r="G46" s="14" t="n">
        <v>0.474</v>
      </c>
      <c r="H46" s="14" t="n">
        <v>0.472</v>
      </c>
      <c r="I46" s="14" t="n">
        <v>0.47</v>
      </c>
      <c r="J46" s="14" t="n">
        <v>0.468</v>
      </c>
      <c r="K46" s="14" t="n">
        <v>0.466</v>
      </c>
      <c r="L46" s="2" t="n"/>
      <c r="M46" s="2" t="n"/>
      <c r="N46" s="2" t="n"/>
      <c r="O46" s="2" t="n"/>
    </row>
    <row r="47">
      <c r="A47" s="3" t="inlineStr">
        <is>
          <t>EBIT margin</t>
        </is>
      </c>
      <c r="B47" s="14" t="n">
        <v>0.1898852941176471</v>
      </c>
      <c r="C47" s="14" t="n">
        <v>0.2014</v>
      </c>
      <c r="D47" s="14" t="n">
        <v>0.2132470588235294</v>
      </c>
      <c r="E47" s="14" t="n">
        <v>0.2188235294117647</v>
      </c>
      <c r="F47" s="14" t="n">
        <v>0.2245294117647059</v>
      </c>
      <c r="G47" s="14" t="n">
        <v>0.2302352941176471</v>
      </c>
      <c r="H47" s="14" t="n">
        <v>0.2359411764705882</v>
      </c>
      <c r="I47" s="14" t="n">
        <v>0.2417058823529412</v>
      </c>
      <c r="J47" s="14" t="n">
        <v>0.2474705882352941</v>
      </c>
      <c r="K47" s="14" t="n">
        <v>0.2532352941176471</v>
      </c>
      <c r="L47" s="2" t="n"/>
      <c r="M47" s="2" t="n"/>
      <c r="N47" s="2" t="n"/>
      <c r="O47" s="2" t="n"/>
    </row>
    <row r="48">
      <c r="A48" s="3" t="inlineStr">
        <is>
          <t>Cash tax rate</t>
        </is>
      </c>
      <c r="B48" s="14" t="n">
        <v>0.15</v>
      </c>
      <c r="C48" s="14" t="n">
        <v>0.15</v>
      </c>
      <c r="D48" s="14" t="n">
        <v>0.15</v>
      </c>
      <c r="E48" s="14" t="n">
        <v>0.15</v>
      </c>
      <c r="F48" s="14" t="n">
        <v>0.15</v>
      </c>
      <c r="G48" s="14" t="n">
        <v>0.15</v>
      </c>
      <c r="H48" s="14" t="n">
        <v>0.15</v>
      </c>
      <c r="I48" s="14" t="n">
        <v>0.15</v>
      </c>
      <c r="J48" s="14" t="n">
        <v>0.15</v>
      </c>
      <c r="K48" s="14" t="n">
        <v>0.15</v>
      </c>
      <c r="L48" s="2" t="n"/>
      <c r="M48" s="2" t="n"/>
      <c r="N48" s="2" t="n"/>
      <c r="O48" s="2" t="n"/>
    </row>
    <row r="49">
      <c r="A49" s="3" t="inlineStr">
        <is>
          <t>D&amp;A / revenue</t>
        </is>
      </c>
      <c r="B49" s="14" t="n">
        <v>0.008</v>
      </c>
      <c r="C49" s="14" t="n">
        <v>0.008</v>
      </c>
      <c r="D49" s="14" t="n">
        <v>0.008</v>
      </c>
      <c r="E49" s="14" t="n">
        <v>0.008</v>
      </c>
      <c r="F49" s="14" t="n">
        <v>0.008</v>
      </c>
      <c r="G49" s="14" t="n">
        <v>0.008</v>
      </c>
      <c r="H49" s="14" t="n">
        <v>0.008</v>
      </c>
      <c r="I49" s="14" t="n">
        <v>0.008</v>
      </c>
      <c r="J49" s="14" t="n">
        <v>0.008</v>
      </c>
      <c r="K49" s="14" t="n">
        <v>0.008</v>
      </c>
      <c r="L49" s="2" t="n"/>
      <c r="M49" s="2" t="n"/>
      <c r="N49" s="2" t="n"/>
      <c r="O49" s="2" t="n"/>
    </row>
    <row r="50">
      <c r="A50" s="3" t="inlineStr">
        <is>
          <t>CapEx / revenue</t>
        </is>
      </c>
      <c r="B50" s="14" t="n">
        <v>0.003</v>
      </c>
      <c r="C50" s="14" t="n">
        <v>0.003</v>
      </c>
      <c r="D50" s="14" t="n">
        <v>0.003</v>
      </c>
      <c r="E50" s="14" t="n">
        <v>0.003</v>
      </c>
      <c r="F50" s="14" t="n">
        <v>0.003</v>
      </c>
      <c r="G50" s="14" t="n">
        <v>0.003</v>
      </c>
      <c r="H50" s="14" t="n">
        <v>0.003</v>
      </c>
      <c r="I50" s="14" t="n">
        <v>0.003</v>
      </c>
      <c r="J50" s="14" t="n">
        <v>0.003</v>
      </c>
      <c r="K50" s="14" t="n">
        <v>0.003</v>
      </c>
      <c r="L50" s="2" t="n"/>
      <c r="M50" s="2" t="n"/>
      <c r="N50" s="2" t="n"/>
      <c r="O50" s="2" t="n"/>
    </row>
    <row r="51">
      <c r="A51" s="3" t="inlineStr">
        <is>
          <t>NWC / Δ revenue</t>
        </is>
      </c>
      <c r="B51" s="14" t="n">
        <v>0.005</v>
      </c>
      <c r="C51" s="14" t="n">
        <v>0.005</v>
      </c>
      <c r="D51" s="14" t="n">
        <v>0.005</v>
      </c>
      <c r="E51" s="14" t="n">
        <v>0.005</v>
      </c>
      <c r="F51" s="14" t="n">
        <v>0.005</v>
      </c>
      <c r="G51" s="14" t="n">
        <v>0.005</v>
      </c>
      <c r="H51" s="14" t="n">
        <v>0.005</v>
      </c>
      <c r="I51" s="14" t="n">
        <v>0.005</v>
      </c>
      <c r="J51" s="14" t="n">
        <v>0.005</v>
      </c>
      <c r="K51" s="14" t="n">
        <v>0.005</v>
      </c>
      <c r="L51" s="2" t="n"/>
      <c r="M51" s="2" t="n"/>
      <c r="N51" s="2" t="n"/>
      <c r="O51" s="2" t="n"/>
    </row>
    <row r="52">
      <c r="A52" s="3" t="inlineStr">
        <is>
          <t>Target FCF margin</t>
        </is>
      </c>
      <c r="B52" s="14" t="n">
        <v>0.165</v>
      </c>
      <c r="C52" s="14" t="n">
        <v>0.175</v>
      </c>
      <c r="D52" s="14" t="n">
        <v>0.185</v>
      </c>
      <c r="E52" s="14" t="n">
        <v>0.19</v>
      </c>
      <c r="F52" s="14" t="n">
        <v>0.195</v>
      </c>
      <c r="G52" s="14" t="n">
        <v>0.2</v>
      </c>
      <c r="H52" s="14" t="n">
        <v>0.205</v>
      </c>
      <c r="I52" s="14" t="n">
        <v>0.21</v>
      </c>
      <c r="J52" s="14" t="n">
        <v>0.215</v>
      </c>
      <c r="K52" s="14" t="n">
        <v>0.22</v>
      </c>
      <c r="L52" s="2" t="n"/>
      <c r="M52" s="2" t="n"/>
      <c r="N52" s="2" t="n"/>
      <c r="O52" s="2" t="n"/>
    </row>
    <row r="53">
      <c r="A53" s="3" t="inlineStr">
        <is>
          <t>WACC</t>
        </is>
      </c>
      <c r="B53" s="14" t="n">
        <v>0.095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3" t="inlineStr">
        <is>
          <t>Terminal growth</t>
        </is>
      </c>
      <c r="B54" s="14" t="n">
        <v>0.035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6" t="inlineStr">
        <is>
          <t>BULL CASE ASSUMPTIONS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11" t="inlineStr">
        <is>
          <t>Assumption</t>
        </is>
      </c>
      <c r="B56" s="12" t="inlineStr">
        <is>
          <t>2026E</t>
        </is>
      </c>
      <c r="C56" s="12" t="inlineStr">
        <is>
          <t>2027E</t>
        </is>
      </c>
      <c r="D56" s="12" t="inlineStr">
        <is>
          <t>2028E</t>
        </is>
      </c>
      <c r="E56" s="12" t="inlineStr">
        <is>
          <t>2029E</t>
        </is>
      </c>
      <c r="F56" s="12" t="inlineStr">
        <is>
          <t>2030E</t>
        </is>
      </c>
      <c r="G56" s="12" t="inlineStr">
        <is>
          <t>2031E</t>
        </is>
      </c>
      <c r="H56" s="12" t="inlineStr">
        <is>
          <t>2032E</t>
        </is>
      </c>
      <c r="I56" s="12" t="inlineStr">
        <is>
          <t>2033E</t>
        </is>
      </c>
      <c r="J56" s="12" t="inlineStr">
        <is>
          <t>2034E</t>
        </is>
      </c>
      <c r="K56" s="12" t="inlineStr">
        <is>
          <t>2035E</t>
        </is>
      </c>
      <c r="L56" s="2" t="n"/>
      <c r="M56" s="2" t="n"/>
      <c r="N56" s="2" t="n"/>
      <c r="O56" s="2" t="n"/>
    </row>
    <row r="57">
      <c r="A57" s="3" t="inlineStr">
        <is>
          <t>Revenue growth</t>
        </is>
      </c>
      <c r="B57" s="14" t="n">
        <v>0.31</v>
      </c>
      <c r="C57" s="14" t="n">
        <v>0.28</v>
      </c>
      <c r="D57" s="14" t="n">
        <v>0.27</v>
      </c>
      <c r="E57" s="14" t="n">
        <v>0.24</v>
      </c>
      <c r="F57" s="14" t="n">
        <v>0.22</v>
      </c>
      <c r="G57" s="14" t="n">
        <v>0.19</v>
      </c>
      <c r="H57" s="14" t="n">
        <v>0.16</v>
      </c>
      <c r="I57" s="14" t="n">
        <v>0.13</v>
      </c>
      <c r="J57" s="14" t="n">
        <v>0.1</v>
      </c>
      <c r="K57" s="14" t="n">
        <v>0.08</v>
      </c>
      <c r="L57" s="2" t="n"/>
      <c r="M57" s="2" t="n"/>
      <c r="N57" s="2" t="n"/>
      <c r="O57" s="2" t="n"/>
    </row>
    <row r="58">
      <c r="A58" s="3" t="inlineStr">
        <is>
          <t>Gross margin</t>
        </is>
      </c>
      <c r="B58" s="14" t="n">
        <v>0.495</v>
      </c>
      <c r="C58" s="14" t="n">
        <v>0.495</v>
      </c>
      <c r="D58" s="14" t="n">
        <v>0.493</v>
      </c>
      <c r="E58" s="14" t="n">
        <v>0.492</v>
      </c>
      <c r="F58" s="14" t="n">
        <v>0.49</v>
      </c>
      <c r="G58" s="14" t="n">
        <v>0.488</v>
      </c>
      <c r="H58" s="14" t="n">
        <v>0.486</v>
      </c>
      <c r="I58" s="14" t="n">
        <v>0.484</v>
      </c>
      <c r="J58" s="14" t="n">
        <v>0.482</v>
      </c>
      <c r="K58" s="14" t="n">
        <v>0.48</v>
      </c>
      <c r="L58" s="2" t="n"/>
      <c r="M58" s="2" t="n"/>
      <c r="N58" s="2" t="n"/>
      <c r="O58" s="2" t="n"/>
    </row>
    <row r="59">
      <c r="A59" s="3" t="inlineStr">
        <is>
          <t>EBIT margin</t>
        </is>
      </c>
      <c r="B59" s="14" t="n">
        <v>0.2029310344827586</v>
      </c>
      <c r="C59" s="14" t="n">
        <v>0.22</v>
      </c>
      <c r="D59" s="14" t="n">
        <v>0.237183908045977</v>
      </c>
      <c r="E59" s="14" t="n">
        <v>0.2485057471264368</v>
      </c>
      <c r="F59" s="14" t="n">
        <v>0.2598850574712644</v>
      </c>
      <c r="G59" s="14" t="n">
        <v>0.2712068965517241</v>
      </c>
      <c r="H59" s="14" t="n">
        <v>0.2825287356321839</v>
      </c>
      <c r="I59" s="14" t="n">
        <v>0.288103448275862</v>
      </c>
      <c r="J59" s="14" t="n">
        <v>0.2936781609195402</v>
      </c>
      <c r="K59" s="14" t="n">
        <v>0.2993103448275862</v>
      </c>
      <c r="L59" s="2" t="n"/>
      <c r="M59" s="2" t="n"/>
      <c r="N59" s="2" t="n"/>
      <c r="O59" s="2" t="n"/>
    </row>
    <row r="60">
      <c r="A60" s="3" t="inlineStr">
        <is>
          <t>Cash tax rate</t>
        </is>
      </c>
      <c r="B60" s="14" t="n">
        <v>0.13</v>
      </c>
      <c r="C60" s="14" t="n">
        <v>0.13</v>
      </c>
      <c r="D60" s="14" t="n">
        <v>0.13</v>
      </c>
      <c r="E60" s="14" t="n">
        <v>0.13</v>
      </c>
      <c r="F60" s="14" t="n">
        <v>0.13</v>
      </c>
      <c r="G60" s="14" t="n">
        <v>0.13</v>
      </c>
      <c r="H60" s="14" t="n">
        <v>0.13</v>
      </c>
      <c r="I60" s="14" t="n">
        <v>0.13</v>
      </c>
      <c r="J60" s="14" t="n">
        <v>0.13</v>
      </c>
      <c r="K60" s="14" t="n">
        <v>0.13</v>
      </c>
      <c r="L60" s="2" t="n"/>
      <c r="M60" s="2" t="n"/>
      <c r="N60" s="2" t="n"/>
      <c r="O60" s="2" t="n"/>
    </row>
    <row r="61">
      <c r="A61" s="3" t="inlineStr">
        <is>
          <t>D&amp;A / revenue</t>
        </is>
      </c>
      <c r="B61" s="14" t="n">
        <v>0.008</v>
      </c>
      <c r="C61" s="14" t="n">
        <v>0.008</v>
      </c>
      <c r="D61" s="14" t="n">
        <v>0.008</v>
      </c>
      <c r="E61" s="14" t="n">
        <v>0.008</v>
      </c>
      <c r="F61" s="14" t="n">
        <v>0.008</v>
      </c>
      <c r="G61" s="14" t="n">
        <v>0.008</v>
      </c>
      <c r="H61" s="14" t="n">
        <v>0.008</v>
      </c>
      <c r="I61" s="14" t="n">
        <v>0.008</v>
      </c>
      <c r="J61" s="14" t="n">
        <v>0.008</v>
      </c>
      <c r="K61" s="14" t="n">
        <v>0.008</v>
      </c>
      <c r="L61" s="2" t="n"/>
      <c r="M61" s="2" t="n"/>
      <c r="N61" s="2" t="n"/>
      <c r="O61" s="2" t="n"/>
    </row>
    <row r="62">
      <c r="A62" s="3" t="inlineStr">
        <is>
          <t>CapEx / revenue</t>
        </is>
      </c>
      <c r="B62" s="14" t="n">
        <v>0.003</v>
      </c>
      <c r="C62" s="14" t="n">
        <v>0.003</v>
      </c>
      <c r="D62" s="14" t="n">
        <v>0.003</v>
      </c>
      <c r="E62" s="14" t="n">
        <v>0.003</v>
      </c>
      <c r="F62" s="14" t="n">
        <v>0.003</v>
      </c>
      <c r="G62" s="14" t="n">
        <v>0.003</v>
      </c>
      <c r="H62" s="14" t="n">
        <v>0.003</v>
      </c>
      <c r="I62" s="14" t="n">
        <v>0.003</v>
      </c>
      <c r="J62" s="14" t="n">
        <v>0.003</v>
      </c>
      <c r="K62" s="14" t="n">
        <v>0.003</v>
      </c>
      <c r="L62" s="2" t="n"/>
      <c r="M62" s="2" t="n"/>
      <c r="N62" s="2" t="n"/>
      <c r="O62" s="2" t="n"/>
    </row>
    <row r="63">
      <c r="A63" s="3" t="inlineStr">
        <is>
          <t>NWC / Δ revenue</t>
        </is>
      </c>
      <c r="B63" s="14" t="n">
        <v>0.005</v>
      </c>
      <c r="C63" s="14" t="n">
        <v>0.005</v>
      </c>
      <c r="D63" s="14" t="n">
        <v>0.005</v>
      </c>
      <c r="E63" s="14" t="n">
        <v>0.005</v>
      </c>
      <c r="F63" s="14" t="n">
        <v>0.005</v>
      </c>
      <c r="G63" s="14" t="n">
        <v>0.005</v>
      </c>
      <c r="H63" s="14" t="n">
        <v>0.005</v>
      </c>
      <c r="I63" s="14" t="n">
        <v>0.005</v>
      </c>
      <c r="J63" s="14" t="n">
        <v>0.005</v>
      </c>
      <c r="K63" s="14" t="n">
        <v>0.005</v>
      </c>
      <c r="L63" s="2" t="n"/>
      <c r="M63" s="2" t="n"/>
      <c r="N63" s="2" t="n"/>
      <c r="O63" s="2" t="n"/>
    </row>
    <row r="64">
      <c r="A64" s="3" t="inlineStr">
        <is>
          <t>Target FCF margin</t>
        </is>
      </c>
      <c r="B64" s="14" t="n">
        <v>0.18</v>
      </c>
      <c r="C64" s="14" t="n">
        <v>0.195</v>
      </c>
      <c r="D64" s="14" t="n">
        <v>0.21</v>
      </c>
      <c r="E64" s="14" t="n">
        <v>0.22</v>
      </c>
      <c r="F64" s="14" t="n">
        <v>0.23</v>
      </c>
      <c r="G64" s="14" t="n">
        <v>0.24</v>
      </c>
      <c r="H64" s="14" t="n">
        <v>0.25</v>
      </c>
      <c r="I64" s="14" t="n">
        <v>0.255</v>
      </c>
      <c r="J64" s="14" t="n">
        <v>0.26</v>
      </c>
      <c r="K64" s="14" t="n">
        <v>0.265</v>
      </c>
      <c r="L64" s="2" t="n"/>
      <c r="M64" s="2" t="n"/>
      <c r="N64" s="2" t="n"/>
      <c r="O64" s="2" t="n"/>
    </row>
    <row r="65">
      <c r="A65" s="3" t="inlineStr">
        <is>
          <t>WACC</t>
        </is>
      </c>
      <c r="B65" s="14" t="n">
        <v>0.08500000000000001</v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3" t="inlineStr">
        <is>
          <t>Terminal growth</t>
        </is>
      </c>
      <c r="B66" s="14" t="n">
        <v>0.045</v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6" t="inlineStr">
        <is>
          <t>Historical and projected financials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11" t="inlineStr">
        <is>
          <t>$M</t>
        </is>
      </c>
      <c r="B70" s="12" t="inlineStr">
        <is>
          <t>2022A</t>
        </is>
      </c>
      <c r="C70" s="12" t="inlineStr">
        <is>
          <t>2023A</t>
        </is>
      </c>
      <c r="D70" s="12" t="inlineStr">
        <is>
          <t>2024A</t>
        </is>
      </c>
      <c r="E70" s="12" t="inlineStr">
        <is>
          <t>2025A</t>
        </is>
      </c>
      <c r="F70" s="12" t="inlineStr">
        <is>
          <t>2026E</t>
        </is>
      </c>
      <c r="G70" s="12" t="inlineStr">
        <is>
          <t>2027E</t>
        </is>
      </c>
      <c r="H70" s="12" t="inlineStr">
        <is>
          <t>2028E</t>
        </is>
      </c>
      <c r="I70" s="12" t="inlineStr">
        <is>
          <t>2029E</t>
        </is>
      </c>
      <c r="J70" s="12" t="inlineStr">
        <is>
          <t>2030E</t>
        </is>
      </c>
      <c r="K70" s="12" t="inlineStr">
        <is>
          <t>2031E</t>
        </is>
      </c>
      <c r="L70" s="12" t="inlineStr">
        <is>
          <t>2032E</t>
        </is>
      </c>
      <c r="M70" s="12" t="inlineStr">
        <is>
          <t>2033E</t>
        </is>
      </c>
      <c r="N70" s="12" t="inlineStr">
        <is>
          <t>2034E</t>
        </is>
      </c>
      <c r="O70" s="12" t="inlineStr">
        <is>
          <t>2035E</t>
        </is>
      </c>
    </row>
    <row r="71">
      <c r="A71" s="3" t="inlineStr">
        <is>
          <t>Revenue</t>
        </is>
      </c>
      <c r="B71" s="9" t="n">
        <v>5600</v>
      </c>
      <c r="C71" s="9" t="n">
        <v>7060</v>
      </c>
      <c r="D71" s="9" t="n">
        <v>8880</v>
      </c>
      <c r="E71" s="9" t="n">
        <v>11556</v>
      </c>
      <c r="F71" s="10">
        <f>E71*(1+B18)</f>
        <v/>
      </c>
      <c r="G71" s="10">
        <f>F71*(1+C18)</f>
        <v/>
      </c>
      <c r="H71" s="10">
        <f>G71*(1+D18)</f>
        <v/>
      </c>
      <c r="I71" s="10">
        <f>H71*(1+E18)</f>
        <v/>
      </c>
      <c r="J71" s="10">
        <f>I71*(1+F18)</f>
        <v/>
      </c>
      <c r="K71" s="10">
        <f>J71*(1+G18)</f>
        <v/>
      </c>
      <c r="L71" s="10">
        <f>K71*(1+H18)</f>
        <v/>
      </c>
      <c r="M71" s="10">
        <f>L71*(1+I18)</f>
        <v/>
      </c>
      <c r="N71" s="10">
        <f>M71*(1+J18)</f>
        <v/>
      </c>
      <c r="O71" s="10">
        <f>N71*(1+K18)</f>
        <v/>
      </c>
    </row>
    <row r="72">
      <c r="A72" s="3" t="inlineStr">
        <is>
          <t>Revenue growth</t>
        </is>
      </c>
      <c r="B72" s="2" t="inlineStr">
        <is>
          <t>n.m.</t>
        </is>
      </c>
      <c r="C72" s="13">
        <f>C71/B71-1</f>
        <v/>
      </c>
      <c r="D72" s="13">
        <f>D71/C71-1</f>
        <v/>
      </c>
      <c r="E72" s="13">
        <f>E71/D71-1</f>
        <v/>
      </c>
      <c r="F72" s="13">
        <f>F71/E71-1</f>
        <v/>
      </c>
      <c r="G72" s="13">
        <f>G71/F71-1</f>
        <v/>
      </c>
      <c r="H72" s="13">
        <f>H71/G71-1</f>
        <v/>
      </c>
      <c r="I72" s="13">
        <f>I71/H71-1</f>
        <v/>
      </c>
      <c r="J72" s="13">
        <f>J71/I71-1</f>
        <v/>
      </c>
      <c r="K72" s="13">
        <f>K71/J71-1</f>
        <v/>
      </c>
      <c r="L72" s="13">
        <f>L71/K71-1</f>
        <v/>
      </c>
      <c r="M72" s="13">
        <f>M71/L71-1</f>
        <v/>
      </c>
      <c r="N72" s="13">
        <f>N71/M71-1</f>
        <v/>
      </c>
      <c r="O72" s="13">
        <f>O71/N71-1</f>
        <v/>
      </c>
    </row>
    <row r="73">
      <c r="A73" s="3" t="inlineStr">
        <is>
          <t>Gross profit</t>
        </is>
      </c>
      <c r="B73" s="9" t="n">
        <v>2754</v>
      </c>
      <c r="C73" s="9" t="n">
        <v>3515</v>
      </c>
      <c r="D73" s="9" t="n">
        <v>4472</v>
      </c>
      <c r="E73" s="9" t="n">
        <v>5555</v>
      </c>
      <c r="F73" s="10">
        <f>F71*B19</f>
        <v/>
      </c>
      <c r="G73" s="10">
        <f>G71*C19</f>
        <v/>
      </c>
      <c r="H73" s="10">
        <f>H71*D19</f>
        <v/>
      </c>
      <c r="I73" s="10">
        <f>I71*E19</f>
        <v/>
      </c>
      <c r="J73" s="10">
        <f>J71*F19</f>
        <v/>
      </c>
      <c r="K73" s="10">
        <f>K71*G19</f>
        <v/>
      </c>
      <c r="L73" s="10">
        <f>L71*H19</f>
        <v/>
      </c>
      <c r="M73" s="10">
        <f>M71*I19</f>
        <v/>
      </c>
      <c r="N73" s="10">
        <f>N71*J19</f>
        <v/>
      </c>
      <c r="O73" s="10">
        <f>O71*K19</f>
        <v/>
      </c>
    </row>
    <row r="74">
      <c r="A74" s="3" t="inlineStr">
        <is>
          <t>Gross margin</t>
        </is>
      </c>
      <c r="B74" s="13">
        <f>B73/B71</f>
        <v/>
      </c>
      <c r="C74" s="13">
        <f>C73/C71</f>
        <v/>
      </c>
      <c r="D74" s="13">
        <f>D73/D71</f>
        <v/>
      </c>
      <c r="E74" s="13">
        <f>E73/E71</f>
        <v/>
      </c>
      <c r="F74" s="13">
        <f>F73/F71</f>
        <v/>
      </c>
      <c r="G74" s="13">
        <f>G73/G71</f>
        <v/>
      </c>
      <c r="H74" s="13">
        <f>H73/H71</f>
        <v/>
      </c>
      <c r="I74" s="13">
        <f>I73/I71</f>
        <v/>
      </c>
      <c r="J74" s="13">
        <f>J73/J71</f>
        <v/>
      </c>
      <c r="K74" s="13">
        <f>K73/K71</f>
        <v/>
      </c>
      <c r="L74" s="13">
        <f>L73/L71</f>
        <v/>
      </c>
      <c r="M74" s="13">
        <f>M73/M71</f>
        <v/>
      </c>
      <c r="N74" s="13">
        <f>N73/N71</f>
        <v/>
      </c>
      <c r="O74" s="13">
        <f>O73/O71</f>
        <v/>
      </c>
    </row>
    <row r="75">
      <c r="A75" s="3" t="inlineStr">
        <is>
          <t>EBIT</t>
        </is>
      </c>
      <c r="B75" s="9" t="n">
        <v>-822</v>
      </c>
      <c r="C75" s="9" t="n">
        <v>-1418</v>
      </c>
      <c r="D75" s="9" t="n">
        <v>1075</v>
      </c>
      <c r="E75" s="9" t="n">
        <v>1468</v>
      </c>
      <c r="F75" s="10">
        <f>F71*B20</f>
        <v/>
      </c>
      <c r="G75" s="10">
        <f>G71*C20</f>
        <v/>
      </c>
      <c r="H75" s="10">
        <f>H71*D20</f>
        <v/>
      </c>
      <c r="I75" s="10">
        <f>I71*E20</f>
        <v/>
      </c>
      <c r="J75" s="10">
        <f>J71*F20</f>
        <v/>
      </c>
      <c r="K75" s="10">
        <f>K71*G20</f>
        <v/>
      </c>
      <c r="L75" s="10">
        <f>L71*H20</f>
        <v/>
      </c>
      <c r="M75" s="10">
        <f>M71*I20</f>
        <v/>
      </c>
      <c r="N75" s="10">
        <f>N71*J20</f>
        <v/>
      </c>
      <c r="O75" s="10">
        <f>O71*K20</f>
        <v/>
      </c>
    </row>
    <row r="76">
      <c r="A76" s="3" t="inlineStr">
        <is>
          <t>EBIT margin</t>
        </is>
      </c>
      <c r="B76" s="13">
        <f>B75/B71</f>
        <v/>
      </c>
      <c r="C76" s="13">
        <f>C75/C71</f>
        <v/>
      </c>
      <c r="D76" s="13">
        <f>D75/D71</f>
        <v/>
      </c>
      <c r="E76" s="13">
        <f>E75/E71</f>
        <v/>
      </c>
      <c r="F76" s="13">
        <f>F75/F71</f>
        <v/>
      </c>
      <c r="G76" s="13">
        <f>G75/G71</f>
        <v/>
      </c>
      <c r="H76" s="13">
        <f>H75/H71</f>
        <v/>
      </c>
      <c r="I76" s="13">
        <f>I75/I71</f>
        <v/>
      </c>
      <c r="J76" s="13">
        <f>J75/J71</f>
        <v/>
      </c>
      <c r="K76" s="13">
        <f>K75/K71</f>
        <v/>
      </c>
      <c r="L76" s="13">
        <f>L75/L71</f>
        <v/>
      </c>
      <c r="M76" s="13">
        <f>M75/M71</f>
        <v/>
      </c>
      <c r="N76" s="13">
        <f>N75/N71</f>
        <v/>
      </c>
      <c r="O76" s="13">
        <f>O75/O71</f>
        <v/>
      </c>
    </row>
    <row r="77">
      <c r="A77" s="3" t="inlineStr">
        <is>
          <t>Cash taxes</t>
        </is>
      </c>
      <c r="B77" s="9" t="n">
        <v>0</v>
      </c>
      <c r="C77" s="9" t="n">
        <v>0</v>
      </c>
      <c r="D77" s="9" t="n">
        <v>161.25</v>
      </c>
      <c r="E77" s="9" t="n">
        <v>220.2</v>
      </c>
      <c r="F77" s="10">
        <f>MAX(0,F75*B21)</f>
        <v/>
      </c>
      <c r="G77" s="10">
        <f>MAX(0,G75*C21)</f>
        <v/>
      </c>
      <c r="H77" s="10">
        <f>MAX(0,H75*D21)</f>
        <v/>
      </c>
      <c r="I77" s="10">
        <f>MAX(0,I75*E21)</f>
        <v/>
      </c>
      <c r="J77" s="10">
        <f>MAX(0,J75*F21)</f>
        <v/>
      </c>
      <c r="K77" s="10">
        <f>MAX(0,K75*G21)</f>
        <v/>
      </c>
      <c r="L77" s="10">
        <f>MAX(0,L75*H21)</f>
        <v/>
      </c>
      <c r="M77" s="10">
        <f>MAX(0,M75*I21)</f>
        <v/>
      </c>
      <c r="N77" s="10">
        <f>MAX(0,N75*J21)</f>
        <v/>
      </c>
      <c r="O77" s="10">
        <f>MAX(0,O75*K21)</f>
        <v/>
      </c>
    </row>
    <row r="78">
      <c r="A78" s="3" t="inlineStr">
        <is>
          <t>NOPAT</t>
        </is>
      </c>
      <c r="B78" s="10">
        <f>B75-B77</f>
        <v/>
      </c>
      <c r="C78" s="10">
        <f>C75-C77</f>
        <v/>
      </c>
      <c r="D78" s="10">
        <f>D75-D77</f>
        <v/>
      </c>
      <c r="E78" s="10">
        <f>E75-E77</f>
        <v/>
      </c>
      <c r="F78" s="10">
        <f>F75-F77</f>
        <v/>
      </c>
      <c r="G78" s="10">
        <f>G75-G77</f>
        <v/>
      </c>
      <c r="H78" s="10">
        <f>H75-H77</f>
        <v/>
      </c>
      <c r="I78" s="10">
        <f>I75-I77</f>
        <v/>
      </c>
      <c r="J78" s="10">
        <f>J75-J77</f>
        <v/>
      </c>
      <c r="K78" s="10">
        <f>K75-K77</f>
        <v/>
      </c>
      <c r="L78" s="10">
        <f>L75-L77</f>
        <v/>
      </c>
      <c r="M78" s="10">
        <f>M75-M77</f>
        <v/>
      </c>
      <c r="N78" s="10">
        <f>N75-N77</f>
        <v/>
      </c>
      <c r="O78" s="10">
        <f>O75-O77</f>
        <v/>
      </c>
    </row>
    <row r="79">
      <c r="A79" s="3" t="inlineStr">
        <is>
          <t>D&amp;A</t>
        </is>
      </c>
      <c r="B79" s="9" t="n">
        <v>44.8</v>
      </c>
      <c r="C79" s="9" t="n">
        <v>56.48</v>
      </c>
      <c r="D79" s="9" t="n">
        <v>71.04000000000001</v>
      </c>
      <c r="E79" s="9" t="n">
        <v>92.44800000000001</v>
      </c>
      <c r="F79" s="10">
        <f>F71*B22</f>
        <v/>
      </c>
      <c r="G79" s="10">
        <f>G71*C22</f>
        <v/>
      </c>
      <c r="H79" s="10">
        <f>H71*D22</f>
        <v/>
      </c>
      <c r="I79" s="10">
        <f>I71*E22</f>
        <v/>
      </c>
      <c r="J79" s="10">
        <f>J71*F22</f>
        <v/>
      </c>
      <c r="K79" s="10">
        <f>K71*G22</f>
        <v/>
      </c>
      <c r="L79" s="10">
        <f>L71*H22</f>
        <v/>
      </c>
      <c r="M79" s="10">
        <f>M71*I22</f>
        <v/>
      </c>
      <c r="N79" s="10">
        <f>N71*J22</f>
        <v/>
      </c>
      <c r="O79" s="10">
        <f>O71*K22</f>
        <v/>
      </c>
    </row>
    <row r="80">
      <c r="A80" s="3" t="inlineStr">
        <is>
          <t>CapEx</t>
        </is>
      </c>
      <c r="B80" s="9" t="n">
        <v>16.8</v>
      </c>
      <c r="C80" s="9" t="n">
        <v>21.18</v>
      </c>
      <c r="D80" s="9" t="n">
        <v>26.64</v>
      </c>
      <c r="E80" s="9" t="n">
        <v>34.668</v>
      </c>
      <c r="F80" s="10">
        <f>F71*B23</f>
        <v/>
      </c>
      <c r="G80" s="10">
        <f>G71*C23</f>
        <v/>
      </c>
      <c r="H80" s="10">
        <f>H71*D23</f>
        <v/>
      </c>
      <c r="I80" s="10">
        <f>I71*E23</f>
        <v/>
      </c>
      <c r="J80" s="10">
        <f>J71*F23</f>
        <v/>
      </c>
      <c r="K80" s="10">
        <f>K71*G23</f>
        <v/>
      </c>
      <c r="L80" s="10">
        <f>L71*H23</f>
        <v/>
      </c>
      <c r="M80" s="10">
        <f>M71*I23</f>
        <v/>
      </c>
      <c r="N80" s="10">
        <f>N71*J23</f>
        <v/>
      </c>
      <c r="O80" s="10">
        <f>O71*K23</f>
        <v/>
      </c>
    </row>
    <row r="81">
      <c r="A81" s="3" t="inlineStr">
        <is>
          <t>Change in NWC</t>
        </is>
      </c>
      <c r="B81" s="9" t="n">
        <v>0</v>
      </c>
      <c r="C81" s="9" t="n">
        <v>7.3</v>
      </c>
      <c r="D81" s="9" t="n">
        <v>9.1</v>
      </c>
      <c r="E81" s="9" t="n">
        <v>13.38</v>
      </c>
      <c r="F81" s="10">
        <f>(F71-E71)*B24</f>
        <v/>
      </c>
      <c r="G81" s="10">
        <f>(G71-F71)*C24</f>
        <v/>
      </c>
      <c r="H81" s="10">
        <f>(H71-G71)*D24</f>
        <v/>
      </c>
      <c r="I81" s="10">
        <f>(I71-H71)*E24</f>
        <v/>
      </c>
      <c r="J81" s="10">
        <f>(J71-I71)*F24</f>
        <v/>
      </c>
      <c r="K81" s="10">
        <f>(K71-J71)*G24</f>
        <v/>
      </c>
      <c r="L81" s="10">
        <f>(L71-K71)*H24</f>
        <v/>
      </c>
      <c r="M81" s="10">
        <f>(M71-L71)*I24</f>
        <v/>
      </c>
      <c r="N81" s="10">
        <f>(N71-M71)*J24</f>
        <v/>
      </c>
      <c r="O81" s="10">
        <f>(O71-N71)*K24</f>
        <v/>
      </c>
    </row>
    <row r="82">
      <c r="A82" s="3" t="inlineStr">
        <is>
          <t>Unlevered FCF</t>
        </is>
      </c>
      <c r="B82" s="9" t="n">
        <v>-186</v>
      </c>
      <c r="C82" s="9" t="n">
        <v>905</v>
      </c>
      <c r="D82" s="9" t="n">
        <v>1597</v>
      </c>
      <c r="E82" s="9" t="n">
        <v>2007</v>
      </c>
      <c r="F82" s="10">
        <f>F78+F79-F80-F81</f>
        <v/>
      </c>
      <c r="G82" s="10">
        <f>G78+G79-G80-G81</f>
        <v/>
      </c>
      <c r="H82" s="10">
        <f>H78+H79-H80-H81</f>
        <v/>
      </c>
      <c r="I82" s="10">
        <f>I78+I79-I80-I81</f>
        <v/>
      </c>
      <c r="J82" s="10">
        <f>J78+J79-J80-J81</f>
        <v/>
      </c>
      <c r="K82" s="10">
        <f>K78+K79-K80-K81</f>
        <v/>
      </c>
      <c r="L82" s="10">
        <f>L78+L79-L80-L81</f>
        <v/>
      </c>
      <c r="M82" s="10">
        <f>M78+M79-M80-M81</f>
        <v/>
      </c>
      <c r="N82" s="10">
        <f>N78+N79-N80-N81</f>
        <v/>
      </c>
      <c r="O82" s="10">
        <f>O78+O79-O80-O81</f>
        <v/>
      </c>
    </row>
    <row r="83">
      <c r="A83" s="3" t="inlineStr">
        <is>
          <t>FCF margin</t>
        </is>
      </c>
      <c r="B83" s="13">
        <f>B82/B71</f>
        <v/>
      </c>
      <c r="C83" s="13">
        <f>C82/C71</f>
        <v/>
      </c>
      <c r="D83" s="13">
        <f>D82/D71</f>
        <v/>
      </c>
      <c r="E83" s="13">
        <f>E82/E71</f>
        <v/>
      </c>
      <c r="F83" s="13">
        <f>F82/F71</f>
        <v/>
      </c>
      <c r="G83" s="13">
        <f>G82/G71</f>
        <v/>
      </c>
      <c r="H83" s="13">
        <f>H82/H71</f>
        <v/>
      </c>
      <c r="I83" s="13">
        <f>I82/I71</f>
        <v/>
      </c>
      <c r="J83" s="13">
        <f>J82/J71</f>
        <v/>
      </c>
      <c r="K83" s="13">
        <f>K82/K71</f>
        <v/>
      </c>
      <c r="L83" s="13">
        <f>L82/L71</f>
        <v/>
      </c>
      <c r="M83" s="13">
        <f>M82/M71</f>
        <v/>
      </c>
      <c r="N83" s="13">
        <f>N82/N71</f>
        <v/>
      </c>
      <c r="O83" s="13">
        <f>O82/O71</f>
        <v/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6" t="inlineStr">
        <is>
          <t>DCF valuation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11" t="inlineStr">
        <is>
          <t>DCF line</t>
        </is>
      </c>
      <c r="B88" s="12" t="inlineStr">
        <is>
          <t>2026E</t>
        </is>
      </c>
      <c r="C88" s="12" t="inlineStr">
        <is>
          <t>2027E</t>
        </is>
      </c>
      <c r="D88" s="12" t="inlineStr">
        <is>
          <t>2028E</t>
        </is>
      </c>
      <c r="E88" s="12" t="inlineStr">
        <is>
          <t>2029E</t>
        </is>
      </c>
      <c r="F88" s="12" t="inlineStr">
        <is>
          <t>2030E</t>
        </is>
      </c>
      <c r="G88" s="12" t="inlineStr">
        <is>
          <t>2031E</t>
        </is>
      </c>
      <c r="H88" s="12" t="inlineStr">
        <is>
          <t>2032E</t>
        </is>
      </c>
      <c r="I88" s="12" t="inlineStr">
        <is>
          <t>2033E</t>
        </is>
      </c>
      <c r="J88" s="12" t="inlineStr">
        <is>
          <t>2034E</t>
        </is>
      </c>
      <c r="K88" s="12" t="inlineStr">
        <is>
          <t>2035E</t>
        </is>
      </c>
      <c r="L88" s="12" t="inlineStr">
        <is>
          <t>Terminal</t>
        </is>
      </c>
      <c r="M88" s="2" t="n"/>
      <c r="N88" s="2" t="n"/>
      <c r="O88" s="2" t="n"/>
    </row>
    <row r="89">
      <c r="A89" s="3" t="inlineStr">
        <is>
          <t>Discount period</t>
        </is>
      </c>
      <c r="B89" s="15" t="n">
        <v>0.5</v>
      </c>
      <c r="C89" s="15" t="n">
        <v>1.5</v>
      </c>
      <c r="D89" s="15" t="n">
        <v>2.5</v>
      </c>
      <c r="E89" s="15" t="n">
        <v>3.5</v>
      </c>
      <c r="F89" s="15" t="n">
        <v>4.5</v>
      </c>
      <c r="G89" s="15" t="n">
        <v>5.5</v>
      </c>
      <c r="H89" s="15" t="n">
        <v>6.5</v>
      </c>
      <c r="I89" s="15" t="n">
        <v>7.5</v>
      </c>
      <c r="J89" s="15" t="n">
        <v>8.5</v>
      </c>
      <c r="K89" s="15" t="n">
        <v>9.5</v>
      </c>
      <c r="L89" s="2" t="n"/>
      <c r="M89" s="2" t="n"/>
      <c r="N89" s="2" t="n"/>
      <c r="O89" s="2" t="n"/>
    </row>
    <row r="90">
      <c r="A90" s="3" t="inlineStr">
        <is>
          <t>Discount factor</t>
        </is>
      </c>
      <c r="B90" s="16">
        <f>1/(1+$B$97)^B89</f>
        <v/>
      </c>
      <c r="C90" s="16">
        <f>1/(1+$B$97)^C89</f>
        <v/>
      </c>
      <c r="D90" s="16">
        <f>1/(1+$B$97)^D89</f>
        <v/>
      </c>
      <c r="E90" s="16">
        <f>1/(1+$B$97)^E89</f>
        <v/>
      </c>
      <c r="F90" s="16">
        <f>1/(1+$B$97)^F89</f>
        <v/>
      </c>
      <c r="G90" s="16">
        <f>1/(1+$B$97)^G89</f>
        <v/>
      </c>
      <c r="H90" s="16">
        <f>1/(1+$B$97)^H89</f>
        <v/>
      </c>
      <c r="I90" s="16">
        <f>1/(1+$B$97)^I89</f>
        <v/>
      </c>
      <c r="J90" s="16">
        <f>1/(1+$B$97)^J89</f>
        <v/>
      </c>
      <c r="K90" s="16">
        <f>1/(1+$B$97)^K89</f>
        <v/>
      </c>
      <c r="L90" s="2" t="n"/>
      <c r="M90" s="2" t="n"/>
      <c r="N90" s="2" t="n"/>
      <c r="O90" s="2" t="n"/>
    </row>
    <row r="91">
      <c r="A91" s="3" t="inlineStr">
        <is>
          <t>PV of FCF</t>
        </is>
      </c>
      <c r="B91" s="10">
        <f>F82*B90</f>
        <v/>
      </c>
      <c r="C91" s="10">
        <f>G82*C90</f>
        <v/>
      </c>
      <c r="D91" s="10">
        <f>H82*D90</f>
        <v/>
      </c>
      <c r="E91" s="10">
        <f>I82*E90</f>
        <v/>
      </c>
      <c r="F91" s="10">
        <f>J82*F90</f>
        <v/>
      </c>
      <c r="G91" s="10">
        <f>K82*G90</f>
        <v/>
      </c>
      <c r="H91" s="10">
        <f>L82*H90</f>
        <v/>
      </c>
      <c r="I91" s="10">
        <f>M82*I90</f>
        <v/>
      </c>
      <c r="J91" s="10">
        <f>N82*J90</f>
        <v/>
      </c>
      <c r="K91" s="10">
        <f>O82*K90</f>
        <v/>
      </c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3" t="inlineStr">
        <is>
          <t>Terminal FCF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17">
        <f>O82*(1+$B$98)</f>
        <v/>
      </c>
      <c r="M93" s="2" t="n"/>
      <c r="N93" s="2" t="n"/>
      <c r="O93" s="2" t="n"/>
    </row>
    <row r="94">
      <c r="A94" s="3" t="inlineStr">
        <is>
          <t>Terminal value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17">
        <f>L93/($B$97-$B$98)</f>
        <v/>
      </c>
      <c r="M94" s="2" t="n"/>
      <c r="N94" s="2" t="n"/>
      <c r="O94" s="2" t="n"/>
    </row>
    <row r="95">
      <c r="A95" s="3" t="inlineStr">
        <is>
          <t>PV terminal value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17">
        <f>L94/(1+$B$97)^9.5</f>
        <v/>
      </c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3" t="inlineStr">
        <is>
          <t>Selected WACC</t>
        </is>
      </c>
      <c r="B97" s="18">
        <f>CHOOSE($B$4,B41,B53,B65)</f>
        <v/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3" t="inlineStr">
        <is>
          <t>Selected terminal growth</t>
        </is>
      </c>
      <c r="B98" s="18">
        <f>CHOOSE($B$4,B42,B54,B66)</f>
        <v/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3" t="inlineStr">
        <is>
          <t>PV explicit FCF</t>
        </is>
      </c>
      <c r="B100" s="10">
        <f>SUM(B91:K91)</f>
        <v/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3" t="inlineStr">
        <is>
          <t>PV terminal value</t>
        </is>
      </c>
      <c r="B101" s="10">
        <f>L95</f>
        <v/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3" t="inlineStr">
        <is>
          <t>Enterprise value</t>
        </is>
      </c>
      <c r="B102" s="17">
        <f>B100+B101</f>
        <v/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3" t="inlineStr">
        <is>
          <t>Cash &amp; investments</t>
        </is>
      </c>
      <c r="B103" s="10">
        <f>B10</f>
        <v/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3" t="inlineStr">
        <is>
          <t>Less: total debt</t>
        </is>
      </c>
      <c r="B104" s="10">
        <f>B11</f>
        <v/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3" t="inlineStr">
        <is>
          <t>Equity value</t>
        </is>
      </c>
      <c r="B105" s="17">
        <f>B102+B103-B104</f>
        <v/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3" t="inlineStr">
        <is>
          <t>Shares outstanding</t>
        </is>
      </c>
      <c r="B106" s="19">
        <f>B9</f>
        <v/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3" t="inlineStr">
        <is>
          <t>Implied value / share</t>
        </is>
      </c>
      <c r="B107" s="20">
        <f>B105/B106</f>
        <v/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3" t="inlineStr">
        <is>
          <t>Current price</t>
        </is>
      </c>
      <c r="B108" s="21">
        <f>B8</f>
        <v/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3" t="inlineStr">
        <is>
          <t>Upside / downside</t>
        </is>
      </c>
      <c r="B109" s="18">
        <f>B107/B108-1</f>
        <v/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</sheetData>
  <mergeCells count="8">
    <mergeCell ref="A69:O69"/>
    <mergeCell ref="A87:O87"/>
    <mergeCell ref="A16:O16"/>
    <mergeCell ref="A55:K55"/>
    <mergeCell ref="A7:E7"/>
    <mergeCell ref="A43:K43"/>
    <mergeCell ref="A1:O1"/>
    <mergeCell ref="A31:K3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  <col width="24" customWidth="1" min="5" max="5"/>
    <col width="36" customWidth="1" min="6" max="6"/>
  </cols>
  <sheetData>
    <row r="1">
      <c r="A1" s="1" t="inlineStr">
        <is>
          <t>Shopify Inc. DCF Model —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Investment view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Stance</t>
        </is>
      </c>
      <c r="B5" s="22" t="inlineStr">
        <is>
          <t>Neutral / Accumulate on pullbacks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Reference price</t>
        </is>
      </c>
      <c r="B6" s="20">
        <f>DCF!B108</f>
        <v/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DCF implied value / share</t>
        </is>
      </c>
      <c r="B7" s="20">
        <f>DCF!B107</f>
        <v/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DCF upside / downside</t>
        </is>
      </c>
      <c r="B8" s="18">
        <f>DCF!B109</f>
        <v/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Street average target</t>
        </is>
      </c>
      <c r="B9" s="7" t="n">
        <v>151.11</v>
      </c>
      <c r="C9" s="2" t="n"/>
      <c r="D9" s="2" t="n"/>
      <c r="E9" s="2" t="n"/>
      <c r="F9" s="2" t="n"/>
      <c r="G9" s="2" t="n"/>
      <c r="H9" s="2" t="n"/>
    </row>
    <row r="10">
      <c r="A10" s="3" t="inlineStr">
        <is>
          <t>Market cap ($M)</t>
        </is>
      </c>
      <c r="B10" s="9" t="n">
        <v>134000</v>
      </c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Enterprise value ($M)</t>
        </is>
      </c>
      <c r="B11" s="9" t="n">
        <v>127700</v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6" t="inlineStr">
        <is>
          <t>Scenario snapshot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11" t="inlineStr">
        <is>
          <t>Scenario</t>
        </is>
      </c>
      <c r="B15" s="12" t="inlineStr">
        <is>
          <t>WACC</t>
        </is>
      </c>
      <c r="C15" s="12" t="inlineStr">
        <is>
          <t>Terminal g</t>
        </is>
      </c>
      <c r="D15" s="12" t="inlineStr">
        <is>
          <t>Terminal FCF margin</t>
        </is>
      </c>
      <c r="E15" s="12" t="inlineStr">
        <is>
          <t>Implied value / share</t>
        </is>
      </c>
      <c r="F15" s="12" t="inlineStr">
        <is>
          <t>Comment</t>
        </is>
      </c>
      <c r="G15" s="2" t="n"/>
      <c r="H15" s="2" t="n"/>
    </row>
    <row r="16">
      <c r="A16" s="3" t="inlineStr">
        <is>
          <t>Bear</t>
        </is>
      </c>
      <c r="B16" s="14" t="n">
        <v>0.105</v>
      </c>
      <c r="C16" s="14" t="n">
        <v>0.025</v>
      </c>
      <c r="D16" s="14" t="n">
        <v>0.18</v>
      </c>
      <c r="E16" s="7" t="n">
        <v>47.77</v>
      </c>
      <c r="F16" s="2" t="inlineStr">
        <is>
          <t>Growth fade + margin pressure</t>
        </is>
      </c>
      <c r="G16" s="2" t="n"/>
      <c r="H16" s="2" t="n"/>
    </row>
    <row r="17">
      <c r="A17" s="3" t="inlineStr">
        <is>
          <t>Base</t>
        </is>
      </c>
      <c r="B17" s="14" t="n">
        <v>0.095</v>
      </c>
      <c r="C17" s="14" t="n">
        <v>0.035</v>
      </c>
      <c r="D17" s="14" t="n">
        <v>0.22</v>
      </c>
      <c r="E17" s="7" t="n">
        <v>96.3</v>
      </c>
      <c r="F17" s="2" t="inlineStr">
        <is>
          <t>Consensus fade + 22% terminal FCF margin</t>
        </is>
      </c>
      <c r="G17" s="2" t="n"/>
      <c r="H17" s="2" t="n"/>
    </row>
    <row r="18">
      <c r="A18" s="3" t="inlineStr">
        <is>
          <t>Bull</t>
        </is>
      </c>
      <c r="B18" s="14" t="n">
        <v>0.08500000000000001</v>
      </c>
      <c r="C18" s="14" t="n">
        <v>0.045</v>
      </c>
      <c r="D18" s="14" t="n">
        <v>0.265</v>
      </c>
      <c r="E18" s="7" t="n">
        <v>219.89</v>
      </c>
      <c r="F18" s="2" t="inlineStr">
        <is>
          <t>AI/B2B/international upside</t>
        </is>
      </c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6" t="inlineStr">
        <is>
          <t>Key operating KPIs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11" t="inlineStr">
        <is>
          <t>KPI</t>
        </is>
      </c>
      <c r="B23" s="12" t="inlineStr">
        <is>
          <t>Current</t>
        </is>
      </c>
      <c r="C23" s="12" t="inlineStr">
        <is>
          <t>Good</t>
        </is>
      </c>
      <c r="D23" s="12" t="inlineStr">
        <is>
          <t>Concern</t>
        </is>
      </c>
      <c r="E23" s="12" t="inlineStr">
        <is>
          <t>Source</t>
        </is>
      </c>
      <c r="F23" s="2" t="n"/>
      <c r="G23" s="2" t="n"/>
      <c r="H23" s="2" t="n"/>
    </row>
    <row r="24">
      <c r="A24" s="3" t="inlineStr">
        <is>
          <t>Revenue growth</t>
        </is>
      </c>
      <c r="B24" s="2" t="inlineStr">
        <is>
          <t>Q1 2026 +34%</t>
        </is>
      </c>
      <c r="C24" s="2" t="inlineStr">
        <is>
          <t>&gt;25%</t>
        </is>
      </c>
      <c r="D24" s="2" t="inlineStr">
        <is>
          <t>&lt;20%</t>
        </is>
      </c>
      <c r="E24" s="2" t="inlineStr">
        <is>
          <t>Company/Koyfin</t>
        </is>
      </c>
      <c r="F24" s="2" t="n"/>
      <c r="G24" s="2" t="n"/>
      <c r="H24" s="2" t="n"/>
    </row>
    <row r="25">
      <c r="A25" s="3" t="inlineStr">
        <is>
          <t>GMV growth</t>
        </is>
      </c>
      <c r="B25" s="2" t="inlineStr">
        <is>
          <t>Q1 2026 +35%</t>
        </is>
      </c>
      <c r="C25" s="2" t="inlineStr">
        <is>
          <t>&gt;25%</t>
        </is>
      </c>
      <c r="D25" s="2" t="inlineStr">
        <is>
          <t>&lt;18%</t>
        </is>
      </c>
      <c r="E25" s="2" t="inlineStr">
        <is>
          <t>Company/Koyfin</t>
        </is>
      </c>
      <c r="F25" s="2" t="n"/>
      <c r="G25" s="2" t="n"/>
      <c r="H25" s="2" t="n"/>
    </row>
    <row r="26">
      <c r="A26" s="3" t="inlineStr">
        <is>
          <t>GPV penetration</t>
        </is>
      </c>
      <c r="B26" s="2" t="inlineStr">
        <is>
          <t>67%</t>
        </is>
      </c>
      <c r="C26" s="2" t="inlineStr">
        <is>
          <t>70–75% path</t>
        </is>
      </c>
      <c r="D26" s="2" t="inlineStr">
        <is>
          <t>Stalls &lt;67%</t>
        </is>
      </c>
      <c r="E26" s="2" t="inlineStr">
        <is>
          <t>Company notes</t>
        </is>
      </c>
      <c r="F26" s="2" t="n"/>
      <c r="G26" s="2" t="n"/>
      <c r="H26" s="2" t="n"/>
    </row>
    <row r="27">
      <c r="A27" s="3" t="inlineStr">
        <is>
          <t>FCF margin</t>
        </is>
      </c>
      <c r="B27" s="2" t="inlineStr">
        <is>
          <t>Q1 2026 15%</t>
        </is>
      </c>
      <c r="C27" s="2" t="inlineStr">
        <is>
          <t>15–20%</t>
        </is>
      </c>
      <c r="D27" s="2" t="inlineStr">
        <is>
          <t>&lt;12%</t>
        </is>
      </c>
      <c r="E27" s="2" t="inlineStr">
        <is>
          <t>Company/Koyfin</t>
        </is>
      </c>
      <c r="F27" s="2" t="n"/>
      <c r="G27" s="2" t="n"/>
      <c r="H27" s="2" t="n"/>
    </row>
    <row r="28">
      <c r="A28" s="3" t="inlineStr">
        <is>
          <t>Gross margin</t>
        </is>
      </c>
      <c r="B28" s="2" t="inlineStr">
        <is>
          <t>LTM 48%</t>
        </is>
      </c>
      <c r="C28" s="2" t="inlineStr">
        <is>
          <t>Stable 47–49%</t>
        </is>
      </c>
      <c r="D28" s="2" t="inlineStr">
        <is>
          <t>&lt;45%</t>
        </is>
      </c>
      <c r="E28" s="2" t="inlineStr">
        <is>
          <t>Koyfin</t>
        </is>
      </c>
      <c r="F28" s="2" t="n"/>
      <c r="G28" s="2" t="n"/>
      <c r="H28" s="2" t="n"/>
    </row>
  </sheetData>
  <mergeCells count="4">
    <mergeCell ref="A14:F14"/>
    <mergeCell ref="A4:D4"/>
    <mergeCell ref="A22:F2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Revenue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$M</t>
        </is>
      </c>
      <c r="B3" s="12" t="inlineStr">
        <is>
          <t>2022A</t>
        </is>
      </c>
      <c r="C3" s="12" t="inlineStr">
        <is>
          <t>2023A</t>
        </is>
      </c>
      <c r="D3" s="12" t="inlineStr">
        <is>
          <t>2024A</t>
        </is>
      </c>
      <c r="E3" s="12" t="inlineStr">
        <is>
          <t>2025A</t>
        </is>
      </c>
      <c r="F3" s="12" t="inlineStr">
        <is>
          <t>2026E</t>
        </is>
      </c>
      <c r="G3" s="12" t="inlineStr">
        <is>
          <t>2027E</t>
        </is>
      </c>
      <c r="H3" s="12" t="inlineStr">
        <is>
          <t>2028E</t>
        </is>
      </c>
      <c r="I3" s="12" t="inlineStr">
        <is>
          <t>2029E</t>
        </is>
      </c>
      <c r="J3" s="12" t="inlineStr">
        <is>
          <t>2030E</t>
        </is>
      </c>
      <c r="K3" s="12" t="inlineStr">
        <is>
          <t>2031E</t>
        </is>
      </c>
      <c r="L3" s="12" t="inlineStr">
        <is>
          <t>2032E</t>
        </is>
      </c>
      <c r="M3" s="12" t="inlineStr">
        <is>
          <t>2033E</t>
        </is>
      </c>
      <c r="N3" s="12" t="inlineStr">
        <is>
          <t>2034E</t>
        </is>
      </c>
      <c r="O3" s="12" t="inlineStr">
        <is>
          <t>2035E</t>
        </is>
      </c>
    </row>
    <row r="4">
      <c r="A4" s="3" t="inlineStr">
        <is>
          <t>GMV</t>
        </is>
      </c>
      <c r="B4" s="9" t="n">
        <v>197200</v>
      </c>
      <c r="C4" s="9" t="n">
        <v>235910</v>
      </c>
      <c r="D4" s="9" t="n">
        <v>292275</v>
      </c>
      <c r="E4" s="9" t="n">
        <v>378441</v>
      </c>
      <c r="F4" s="10">
        <f>F5/0.0305</f>
        <v/>
      </c>
      <c r="G4" s="10">
        <f>G5/0.03075</f>
        <v/>
      </c>
      <c r="H4" s="10">
        <f>H5/0.031</f>
        <v/>
      </c>
      <c r="I4" s="10">
        <f>I5/0.03125</f>
        <v/>
      </c>
      <c r="J4" s="10">
        <f>J5/0.0315</f>
        <v/>
      </c>
      <c r="K4" s="10">
        <f>K5/0.03175</f>
        <v/>
      </c>
      <c r="L4" s="10">
        <f>L5/0.032</f>
        <v/>
      </c>
      <c r="M4" s="10">
        <f>M5/0.03225</f>
        <v/>
      </c>
      <c r="N4" s="10">
        <f>N5/0.0325</f>
        <v/>
      </c>
      <c r="O4" s="10">
        <f>O5/0.03275</f>
        <v/>
      </c>
    </row>
    <row r="5">
      <c r="A5" s="3" t="inlineStr">
        <is>
          <t>Revenue</t>
        </is>
      </c>
      <c r="B5" s="9" t="n">
        <v>5600</v>
      </c>
      <c r="C5" s="9" t="n">
        <v>7060</v>
      </c>
      <c r="D5" s="9" t="n">
        <v>8880</v>
      </c>
      <c r="E5" s="9" t="n">
        <v>11556</v>
      </c>
      <c r="F5" s="23">
        <f>DCF!F71</f>
        <v/>
      </c>
      <c r="G5" s="23">
        <f>DCF!G71</f>
        <v/>
      </c>
      <c r="H5" s="23">
        <f>DCF!H71</f>
        <v/>
      </c>
      <c r="I5" s="23">
        <f>DCF!I71</f>
        <v/>
      </c>
      <c r="J5" s="23">
        <f>DCF!J71</f>
        <v/>
      </c>
      <c r="K5" s="23">
        <f>DCF!K71</f>
        <v/>
      </c>
      <c r="L5" s="23">
        <f>DCF!L71</f>
        <v/>
      </c>
      <c r="M5" s="23">
        <f>DCF!M71</f>
        <v/>
      </c>
      <c r="N5" s="23">
        <f>DCF!N71</f>
        <v/>
      </c>
      <c r="O5" s="23">
        <f>DCF!O71</f>
        <v/>
      </c>
    </row>
    <row r="6">
      <c r="A6" s="3" t="inlineStr">
        <is>
          <t>Take rate</t>
        </is>
      </c>
      <c r="B6" s="13">
        <f>B5/B4</f>
        <v/>
      </c>
      <c r="C6" s="13">
        <f>C5/C4</f>
        <v/>
      </c>
      <c r="D6" s="13">
        <f>D5/D4</f>
        <v/>
      </c>
      <c r="E6" s="13">
        <f>E5/E4</f>
        <v/>
      </c>
      <c r="F6" s="13">
        <f>F5/F4</f>
        <v/>
      </c>
      <c r="G6" s="13">
        <f>G5/G4</f>
        <v/>
      </c>
      <c r="H6" s="13">
        <f>H5/H4</f>
        <v/>
      </c>
      <c r="I6" s="13">
        <f>I5/I4</f>
        <v/>
      </c>
      <c r="J6" s="13">
        <f>J5/J4</f>
        <v/>
      </c>
      <c r="K6" s="13">
        <f>K5/K4</f>
        <v/>
      </c>
      <c r="L6" s="13">
        <f>L5/L4</f>
        <v/>
      </c>
      <c r="M6" s="13">
        <f>M5/M4</f>
        <v/>
      </c>
      <c r="N6" s="13">
        <f>N5/N4</f>
        <v/>
      </c>
      <c r="O6" s="13">
        <f>O5/O4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3" t="inlineStr">
        <is>
          <t>Subscription Solutions</t>
        </is>
      </c>
      <c r="B8" s="9" t="n">
        <v>1500</v>
      </c>
      <c r="C8" s="9" t="n">
        <v>1800</v>
      </c>
      <c r="D8" s="9" t="n">
        <v>2350</v>
      </c>
      <c r="E8" s="9" t="n">
        <v>2752</v>
      </c>
      <c r="F8" s="10">
        <f>F5*0.238</f>
        <v/>
      </c>
      <c r="G8" s="10">
        <f>G5*0.23399999999999999</f>
        <v/>
      </c>
      <c r="H8" s="10">
        <f>H5*0.22999999999999998</f>
        <v/>
      </c>
      <c r="I8" s="10">
        <f>I5*0.22599999999999998</f>
        <v/>
      </c>
      <c r="J8" s="10">
        <f>J5*0.22199999999999998</f>
        <v/>
      </c>
      <c r="K8" s="10">
        <f>K5*0.218</f>
        <v/>
      </c>
      <c r="L8" s="10">
        <f>L5*0.214</f>
        <v/>
      </c>
      <c r="M8" s="10">
        <f>M5*0.21</f>
        <v/>
      </c>
      <c r="N8" s="10">
        <f>N5*0.206</f>
        <v/>
      </c>
      <c r="O8" s="10">
        <f>O5*0.20199999999999999</f>
        <v/>
      </c>
    </row>
    <row r="9">
      <c r="A9" s="3" t="inlineStr">
        <is>
          <t>% of revenue</t>
        </is>
      </c>
      <c r="B9" s="13">
        <f>B8/B5</f>
        <v/>
      </c>
      <c r="C9" s="13">
        <f>C8/C5</f>
        <v/>
      </c>
      <c r="D9" s="13">
        <f>D8/D5</f>
        <v/>
      </c>
      <c r="E9" s="13">
        <f>E8/E5</f>
        <v/>
      </c>
      <c r="F9" s="13">
        <f>F8/F5</f>
        <v/>
      </c>
      <c r="G9" s="13">
        <f>G8/G5</f>
        <v/>
      </c>
      <c r="H9" s="13">
        <f>H8/H5</f>
        <v/>
      </c>
      <c r="I9" s="13">
        <f>I8/I5</f>
        <v/>
      </c>
      <c r="J9" s="13">
        <f>J8/J5</f>
        <v/>
      </c>
      <c r="K9" s="13">
        <f>K8/K5</f>
        <v/>
      </c>
      <c r="L9" s="13">
        <f>L8/L5</f>
        <v/>
      </c>
      <c r="M9" s="13">
        <f>M8/M5</f>
        <v/>
      </c>
      <c r="N9" s="13">
        <f>N8/N5</f>
        <v/>
      </c>
      <c r="O9" s="13">
        <f>O8/O5</f>
        <v/>
      </c>
    </row>
    <row r="10">
      <c r="A10" s="3" t="inlineStr">
        <is>
          <t>Merchant Solutions</t>
        </is>
      </c>
      <c r="B10" s="9" t="n">
        <v>4100</v>
      </c>
      <c r="C10" s="9" t="n">
        <v>5200</v>
      </c>
      <c r="D10" s="9" t="n">
        <v>6530</v>
      </c>
      <c r="E10" s="9" t="n">
        <v>8804</v>
      </c>
      <c r="F10" s="10">
        <f>F5-F8</f>
        <v/>
      </c>
      <c r="G10" s="10">
        <f>G5-G8</f>
        <v/>
      </c>
      <c r="H10" s="10">
        <f>H5-H8</f>
        <v/>
      </c>
      <c r="I10" s="10">
        <f>I5-I8</f>
        <v/>
      </c>
      <c r="J10" s="10">
        <f>J5-J8</f>
        <v/>
      </c>
      <c r="K10" s="10">
        <f>K5-K8</f>
        <v/>
      </c>
      <c r="L10" s="10">
        <f>L5-L8</f>
        <v/>
      </c>
      <c r="M10" s="10">
        <f>M5-M8</f>
        <v/>
      </c>
      <c r="N10" s="10">
        <f>N5-N8</f>
        <v/>
      </c>
      <c r="O10" s="10">
        <f>O5-O8</f>
        <v/>
      </c>
    </row>
    <row r="11">
      <c r="A11" s="3" t="inlineStr">
        <is>
          <t>% of revenue</t>
        </is>
      </c>
      <c r="B11" s="13">
        <f>B10/B5</f>
        <v/>
      </c>
      <c r="C11" s="13">
        <f>C10/C5</f>
        <v/>
      </c>
      <c r="D11" s="13">
        <f>D10/D5</f>
        <v/>
      </c>
      <c r="E11" s="13">
        <f>E10/E5</f>
        <v/>
      </c>
      <c r="F11" s="13">
        <f>F10/F5</f>
        <v/>
      </c>
      <c r="G11" s="13">
        <f>G10/G5</f>
        <v/>
      </c>
      <c r="H11" s="13">
        <f>H10/H5</f>
        <v/>
      </c>
      <c r="I11" s="13">
        <f>I10/I5</f>
        <v/>
      </c>
      <c r="J11" s="13">
        <f>J10/J5</f>
        <v/>
      </c>
      <c r="K11" s="13">
        <f>K10/K5</f>
        <v/>
      </c>
      <c r="L11" s="13">
        <f>L10/L5</f>
        <v/>
      </c>
      <c r="M11" s="13">
        <f>M10/M5</f>
        <v/>
      </c>
      <c r="N11" s="13">
        <f>N10/N5</f>
        <v/>
      </c>
      <c r="O11" s="13">
        <f>O10/O5</f>
        <v/>
      </c>
    </row>
  </sheetData>
  <mergeCells count="1">
    <mergeCell ref="A1:O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Income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$M</t>
        </is>
      </c>
      <c r="B3" s="12" t="inlineStr">
        <is>
          <t>2022A</t>
        </is>
      </c>
      <c r="C3" s="12" t="inlineStr">
        <is>
          <t>2023A</t>
        </is>
      </c>
      <c r="D3" s="12" t="inlineStr">
        <is>
          <t>2024A</t>
        </is>
      </c>
      <c r="E3" s="12" t="inlineStr">
        <is>
          <t>2025A</t>
        </is>
      </c>
      <c r="F3" s="12" t="inlineStr">
        <is>
          <t>2026E</t>
        </is>
      </c>
      <c r="G3" s="12" t="inlineStr">
        <is>
          <t>2027E</t>
        </is>
      </c>
      <c r="H3" s="12" t="inlineStr">
        <is>
          <t>2028E</t>
        </is>
      </c>
      <c r="I3" s="12" t="inlineStr">
        <is>
          <t>2029E</t>
        </is>
      </c>
      <c r="J3" s="12" t="inlineStr">
        <is>
          <t>2030E</t>
        </is>
      </c>
      <c r="K3" s="12" t="inlineStr">
        <is>
          <t>2031E</t>
        </is>
      </c>
      <c r="L3" s="12" t="inlineStr">
        <is>
          <t>2032E</t>
        </is>
      </c>
      <c r="M3" s="12" t="inlineStr">
        <is>
          <t>2033E</t>
        </is>
      </c>
      <c r="N3" s="12" t="inlineStr">
        <is>
          <t>2034E</t>
        </is>
      </c>
      <c r="O3" s="12" t="inlineStr">
        <is>
          <t>2035E</t>
        </is>
      </c>
    </row>
    <row r="4">
      <c r="A4" s="3" t="inlineStr">
        <is>
          <t>Revenue</t>
        </is>
      </c>
      <c r="B4" s="23">
        <f>DCF!B71</f>
        <v/>
      </c>
      <c r="C4" s="23">
        <f>DCF!C71</f>
        <v/>
      </c>
      <c r="D4" s="23">
        <f>DCF!D71</f>
        <v/>
      </c>
      <c r="E4" s="23">
        <f>DCF!E71</f>
        <v/>
      </c>
      <c r="F4" s="23">
        <f>DCF!F71</f>
        <v/>
      </c>
      <c r="G4" s="23">
        <f>DCF!G71</f>
        <v/>
      </c>
      <c r="H4" s="23">
        <f>DCF!H71</f>
        <v/>
      </c>
      <c r="I4" s="23">
        <f>DCF!I71</f>
        <v/>
      </c>
      <c r="J4" s="23">
        <f>DCF!J71</f>
        <v/>
      </c>
      <c r="K4" s="23">
        <f>DCF!K71</f>
        <v/>
      </c>
      <c r="L4" s="23">
        <f>DCF!L71</f>
        <v/>
      </c>
      <c r="M4" s="23">
        <f>DCF!M71</f>
        <v/>
      </c>
      <c r="N4" s="23">
        <f>DCF!N71</f>
        <v/>
      </c>
      <c r="O4" s="23">
        <f>DCF!O71</f>
        <v/>
      </c>
    </row>
    <row r="5">
      <c r="A5" s="3" t="inlineStr">
        <is>
          <t>Gross profit</t>
        </is>
      </c>
      <c r="B5" s="23">
        <f>DCF!B73</f>
        <v/>
      </c>
      <c r="C5" s="23">
        <f>DCF!C73</f>
        <v/>
      </c>
      <c r="D5" s="23">
        <f>DCF!D73</f>
        <v/>
      </c>
      <c r="E5" s="23">
        <f>DCF!E73</f>
        <v/>
      </c>
      <c r="F5" s="23">
        <f>DCF!F73</f>
        <v/>
      </c>
      <c r="G5" s="23">
        <f>DCF!G73</f>
        <v/>
      </c>
      <c r="H5" s="23">
        <f>DCF!H73</f>
        <v/>
      </c>
      <c r="I5" s="23">
        <f>DCF!I73</f>
        <v/>
      </c>
      <c r="J5" s="23">
        <f>DCF!J73</f>
        <v/>
      </c>
      <c r="K5" s="23">
        <f>DCF!K73</f>
        <v/>
      </c>
      <c r="L5" s="23">
        <f>DCF!L73</f>
        <v/>
      </c>
      <c r="M5" s="23">
        <f>DCF!M73</f>
        <v/>
      </c>
      <c r="N5" s="23">
        <f>DCF!N73</f>
        <v/>
      </c>
      <c r="O5" s="23">
        <f>DCF!O73</f>
        <v/>
      </c>
    </row>
    <row r="6">
      <c r="A6" s="3" t="inlineStr">
        <is>
          <t>Gross margin</t>
        </is>
      </c>
      <c r="B6" s="24">
        <f>DCF!B74</f>
        <v/>
      </c>
      <c r="C6" s="24">
        <f>DCF!C74</f>
        <v/>
      </c>
      <c r="D6" s="24">
        <f>DCF!D74</f>
        <v/>
      </c>
      <c r="E6" s="24">
        <f>DCF!E74</f>
        <v/>
      </c>
      <c r="F6" s="24">
        <f>DCF!F74</f>
        <v/>
      </c>
      <c r="G6" s="24">
        <f>DCF!G74</f>
        <v/>
      </c>
      <c r="H6" s="24">
        <f>DCF!H74</f>
        <v/>
      </c>
      <c r="I6" s="24">
        <f>DCF!I74</f>
        <v/>
      </c>
      <c r="J6" s="24">
        <f>DCF!J74</f>
        <v/>
      </c>
      <c r="K6" s="24">
        <f>DCF!K74</f>
        <v/>
      </c>
      <c r="L6" s="24">
        <f>DCF!L74</f>
        <v/>
      </c>
      <c r="M6" s="24">
        <f>DCF!M74</f>
        <v/>
      </c>
      <c r="N6" s="24">
        <f>DCF!N74</f>
        <v/>
      </c>
      <c r="O6" s="24">
        <f>DCF!O74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3" t="inlineStr">
        <is>
          <t>EBIT</t>
        </is>
      </c>
      <c r="B8" s="23">
        <f>DCF!B75</f>
        <v/>
      </c>
      <c r="C8" s="23">
        <f>DCF!C75</f>
        <v/>
      </c>
      <c r="D8" s="23">
        <f>DCF!D75</f>
        <v/>
      </c>
      <c r="E8" s="23">
        <f>DCF!E75</f>
        <v/>
      </c>
      <c r="F8" s="23">
        <f>DCF!F75</f>
        <v/>
      </c>
      <c r="G8" s="23">
        <f>DCF!G75</f>
        <v/>
      </c>
      <c r="H8" s="23">
        <f>DCF!H75</f>
        <v/>
      </c>
      <c r="I8" s="23">
        <f>DCF!I75</f>
        <v/>
      </c>
      <c r="J8" s="23">
        <f>DCF!J75</f>
        <v/>
      </c>
      <c r="K8" s="23">
        <f>DCF!K75</f>
        <v/>
      </c>
      <c r="L8" s="23">
        <f>DCF!L75</f>
        <v/>
      </c>
      <c r="M8" s="23">
        <f>DCF!M75</f>
        <v/>
      </c>
      <c r="N8" s="23">
        <f>DCF!N75</f>
        <v/>
      </c>
      <c r="O8" s="23">
        <f>DCF!O75</f>
        <v/>
      </c>
    </row>
    <row r="9">
      <c r="A9" s="3" t="inlineStr">
        <is>
          <t>EBIT margin</t>
        </is>
      </c>
      <c r="B9" s="24">
        <f>DCF!B76</f>
        <v/>
      </c>
      <c r="C9" s="24">
        <f>DCF!C76</f>
        <v/>
      </c>
      <c r="D9" s="24">
        <f>DCF!D76</f>
        <v/>
      </c>
      <c r="E9" s="24">
        <f>DCF!E76</f>
        <v/>
      </c>
      <c r="F9" s="24">
        <f>DCF!F76</f>
        <v/>
      </c>
      <c r="G9" s="24">
        <f>DCF!G76</f>
        <v/>
      </c>
      <c r="H9" s="24">
        <f>DCF!H76</f>
        <v/>
      </c>
      <c r="I9" s="24">
        <f>DCF!I76</f>
        <v/>
      </c>
      <c r="J9" s="24">
        <f>DCF!J76</f>
        <v/>
      </c>
      <c r="K9" s="24">
        <f>DCF!K76</f>
        <v/>
      </c>
      <c r="L9" s="24">
        <f>DCF!L76</f>
        <v/>
      </c>
      <c r="M9" s="24">
        <f>DCF!M76</f>
        <v/>
      </c>
      <c r="N9" s="24">
        <f>DCF!N76</f>
        <v/>
      </c>
      <c r="O9" s="24">
        <f>DCF!O76</f>
        <v/>
      </c>
    </row>
    <row r="10">
      <c r="A10" s="3" t="inlineStr">
        <is>
          <t>Cash taxes</t>
        </is>
      </c>
      <c r="B10" s="23">
        <f>DCF!B77</f>
        <v/>
      </c>
      <c r="C10" s="23">
        <f>DCF!C77</f>
        <v/>
      </c>
      <c r="D10" s="23">
        <f>DCF!D77</f>
        <v/>
      </c>
      <c r="E10" s="23">
        <f>DCF!E77</f>
        <v/>
      </c>
      <c r="F10" s="23">
        <f>DCF!F77</f>
        <v/>
      </c>
      <c r="G10" s="23">
        <f>DCF!G77</f>
        <v/>
      </c>
      <c r="H10" s="23">
        <f>DCF!H77</f>
        <v/>
      </c>
      <c r="I10" s="23">
        <f>DCF!I77</f>
        <v/>
      </c>
      <c r="J10" s="23">
        <f>DCF!J77</f>
        <v/>
      </c>
      <c r="K10" s="23">
        <f>DCF!K77</f>
        <v/>
      </c>
      <c r="L10" s="23">
        <f>DCF!L77</f>
        <v/>
      </c>
      <c r="M10" s="23">
        <f>DCF!M77</f>
        <v/>
      </c>
      <c r="N10" s="23">
        <f>DCF!N77</f>
        <v/>
      </c>
      <c r="O10" s="23">
        <f>DCF!O77</f>
        <v/>
      </c>
    </row>
    <row r="11">
      <c r="A11" s="3" t="inlineStr">
        <is>
          <t>NOPAT</t>
        </is>
      </c>
      <c r="B11" s="23">
        <f>DCF!B78</f>
        <v/>
      </c>
      <c r="C11" s="23">
        <f>DCF!C78</f>
        <v/>
      </c>
      <c r="D11" s="23">
        <f>DCF!D78</f>
        <v/>
      </c>
      <c r="E11" s="23">
        <f>DCF!E78</f>
        <v/>
      </c>
      <c r="F11" s="23">
        <f>DCF!F78</f>
        <v/>
      </c>
      <c r="G11" s="23">
        <f>DCF!G78</f>
        <v/>
      </c>
      <c r="H11" s="23">
        <f>DCF!H78</f>
        <v/>
      </c>
      <c r="I11" s="23">
        <f>DCF!I78</f>
        <v/>
      </c>
      <c r="J11" s="23">
        <f>DCF!J78</f>
        <v/>
      </c>
      <c r="K11" s="23">
        <f>DCF!K78</f>
        <v/>
      </c>
      <c r="L11" s="23">
        <f>DCF!L78</f>
        <v/>
      </c>
      <c r="M11" s="23">
        <f>DCF!M78</f>
        <v/>
      </c>
      <c r="N11" s="23">
        <f>DCF!N78</f>
        <v/>
      </c>
      <c r="O11" s="23">
        <f>DCF!O78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$M</t>
        </is>
      </c>
      <c r="B3" s="12" t="inlineStr">
        <is>
          <t>2022A</t>
        </is>
      </c>
      <c r="C3" s="12" t="inlineStr">
        <is>
          <t>2023A</t>
        </is>
      </c>
      <c r="D3" s="12" t="inlineStr">
        <is>
          <t>2024A</t>
        </is>
      </c>
      <c r="E3" s="12" t="inlineStr">
        <is>
          <t>2025A</t>
        </is>
      </c>
      <c r="F3" s="12" t="inlineStr">
        <is>
          <t>2026E</t>
        </is>
      </c>
      <c r="G3" s="12" t="inlineStr">
        <is>
          <t>2027E</t>
        </is>
      </c>
      <c r="H3" s="12" t="inlineStr">
        <is>
          <t>2028E</t>
        </is>
      </c>
      <c r="I3" s="12" t="inlineStr">
        <is>
          <t>2029E</t>
        </is>
      </c>
      <c r="J3" s="12" t="inlineStr">
        <is>
          <t>2030E</t>
        </is>
      </c>
      <c r="K3" s="12" t="inlineStr">
        <is>
          <t>2031E</t>
        </is>
      </c>
      <c r="L3" s="12" t="inlineStr">
        <is>
          <t>2032E</t>
        </is>
      </c>
      <c r="M3" s="12" t="inlineStr">
        <is>
          <t>2033E</t>
        </is>
      </c>
      <c r="N3" s="12" t="inlineStr">
        <is>
          <t>2034E</t>
        </is>
      </c>
      <c r="O3" s="12" t="inlineStr">
        <is>
          <t>2035E</t>
        </is>
      </c>
    </row>
    <row r="4">
      <c r="A4" s="3" t="inlineStr">
        <is>
          <t>NOPAT</t>
        </is>
      </c>
      <c r="B4" s="23">
        <f>DCF!B78</f>
        <v/>
      </c>
      <c r="C4" s="23">
        <f>DCF!C78</f>
        <v/>
      </c>
      <c r="D4" s="23">
        <f>DCF!D78</f>
        <v/>
      </c>
      <c r="E4" s="23">
        <f>DCF!E78</f>
        <v/>
      </c>
      <c r="F4" s="23">
        <f>DCF!F78</f>
        <v/>
      </c>
      <c r="G4" s="23">
        <f>DCF!G78</f>
        <v/>
      </c>
      <c r="H4" s="23">
        <f>DCF!H78</f>
        <v/>
      </c>
      <c r="I4" s="23">
        <f>DCF!I78</f>
        <v/>
      </c>
      <c r="J4" s="23">
        <f>DCF!J78</f>
        <v/>
      </c>
      <c r="K4" s="23">
        <f>DCF!K78</f>
        <v/>
      </c>
      <c r="L4" s="23">
        <f>DCF!L78</f>
        <v/>
      </c>
      <c r="M4" s="23">
        <f>DCF!M78</f>
        <v/>
      </c>
      <c r="N4" s="23">
        <f>DCF!N78</f>
        <v/>
      </c>
      <c r="O4" s="23">
        <f>DCF!O78</f>
        <v/>
      </c>
    </row>
    <row r="5">
      <c r="A5" s="3" t="inlineStr">
        <is>
          <t>D&amp;A</t>
        </is>
      </c>
      <c r="B5" s="23">
        <f>DCF!B79</f>
        <v/>
      </c>
      <c r="C5" s="23">
        <f>DCF!C79</f>
        <v/>
      </c>
      <c r="D5" s="23">
        <f>DCF!D79</f>
        <v/>
      </c>
      <c r="E5" s="23">
        <f>DCF!E79</f>
        <v/>
      </c>
      <c r="F5" s="23">
        <f>DCF!F79</f>
        <v/>
      </c>
      <c r="G5" s="23">
        <f>DCF!G79</f>
        <v/>
      </c>
      <c r="H5" s="23">
        <f>DCF!H79</f>
        <v/>
      </c>
      <c r="I5" s="23">
        <f>DCF!I79</f>
        <v/>
      </c>
      <c r="J5" s="23">
        <f>DCF!J79</f>
        <v/>
      </c>
      <c r="K5" s="23">
        <f>DCF!K79</f>
        <v/>
      </c>
      <c r="L5" s="23">
        <f>DCF!L79</f>
        <v/>
      </c>
      <c r="M5" s="23">
        <f>DCF!M79</f>
        <v/>
      </c>
      <c r="N5" s="23">
        <f>DCF!N79</f>
        <v/>
      </c>
      <c r="O5" s="23">
        <f>DCF!O79</f>
        <v/>
      </c>
    </row>
    <row r="6">
      <c r="A6" s="3" t="inlineStr">
        <is>
          <t>CapEx</t>
        </is>
      </c>
      <c r="B6" s="23">
        <f>DCF!B80</f>
        <v/>
      </c>
      <c r="C6" s="23">
        <f>DCF!C80</f>
        <v/>
      </c>
      <c r="D6" s="23">
        <f>DCF!D80</f>
        <v/>
      </c>
      <c r="E6" s="23">
        <f>DCF!E80</f>
        <v/>
      </c>
      <c r="F6" s="23">
        <f>DCF!F80</f>
        <v/>
      </c>
      <c r="G6" s="23">
        <f>DCF!G80</f>
        <v/>
      </c>
      <c r="H6" s="23">
        <f>DCF!H80</f>
        <v/>
      </c>
      <c r="I6" s="23">
        <f>DCF!I80</f>
        <v/>
      </c>
      <c r="J6" s="23">
        <f>DCF!J80</f>
        <v/>
      </c>
      <c r="K6" s="23">
        <f>DCF!K80</f>
        <v/>
      </c>
      <c r="L6" s="23">
        <f>DCF!L80</f>
        <v/>
      </c>
      <c r="M6" s="23">
        <f>DCF!M80</f>
        <v/>
      </c>
      <c r="N6" s="23">
        <f>DCF!N80</f>
        <v/>
      </c>
      <c r="O6" s="23">
        <f>DCF!O80</f>
        <v/>
      </c>
    </row>
    <row r="7">
      <c r="A7" s="3" t="inlineStr">
        <is>
          <t>Change in NWC</t>
        </is>
      </c>
      <c r="B7" s="23">
        <f>DCF!B81</f>
        <v/>
      </c>
      <c r="C7" s="23">
        <f>DCF!C81</f>
        <v/>
      </c>
      <c r="D7" s="23">
        <f>DCF!D81</f>
        <v/>
      </c>
      <c r="E7" s="23">
        <f>DCF!E81</f>
        <v/>
      </c>
      <c r="F7" s="23">
        <f>DCF!F81</f>
        <v/>
      </c>
      <c r="G7" s="23">
        <f>DCF!G81</f>
        <v/>
      </c>
      <c r="H7" s="23">
        <f>DCF!H81</f>
        <v/>
      </c>
      <c r="I7" s="23">
        <f>DCF!I81</f>
        <v/>
      </c>
      <c r="J7" s="23">
        <f>DCF!J81</f>
        <v/>
      </c>
      <c r="K7" s="23">
        <f>DCF!K81</f>
        <v/>
      </c>
      <c r="L7" s="23">
        <f>DCF!L81</f>
        <v/>
      </c>
      <c r="M7" s="23">
        <f>DCF!M81</f>
        <v/>
      </c>
      <c r="N7" s="23">
        <f>DCF!N81</f>
        <v/>
      </c>
      <c r="O7" s="23">
        <f>DCF!O81</f>
        <v/>
      </c>
    </row>
    <row r="8">
      <c r="A8" s="3" t="inlineStr">
        <is>
          <t>Unlevered FCF</t>
        </is>
      </c>
      <c r="B8" s="23">
        <f>DCF!B82</f>
        <v/>
      </c>
      <c r="C8" s="23">
        <f>DCF!C82</f>
        <v/>
      </c>
      <c r="D8" s="23">
        <f>DCF!D82</f>
        <v/>
      </c>
      <c r="E8" s="23">
        <f>DCF!E82</f>
        <v/>
      </c>
      <c r="F8" s="23">
        <f>DCF!F82</f>
        <v/>
      </c>
      <c r="G8" s="23">
        <f>DCF!G82</f>
        <v/>
      </c>
      <c r="H8" s="23">
        <f>DCF!H82</f>
        <v/>
      </c>
      <c r="I8" s="23">
        <f>DCF!I82</f>
        <v/>
      </c>
      <c r="J8" s="23">
        <f>DCF!J82</f>
        <v/>
      </c>
      <c r="K8" s="23">
        <f>DCF!K82</f>
        <v/>
      </c>
      <c r="L8" s="23">
        <f>DCF!L82</f>
        <v/>
      </c>
      <c r="M8" s="23">
        <f>DCF!M82</f>
        <v/>
      </c>
      <c r="N8" s="23">
        <f>DCF!N82</f>
        <v/>
      </c>
      <c r="O8" s="23">
        <f>DCF!O82</f>
        <v/>
      </c>
    </row>
    <row r="9">
      <c r="A9" s="3" t="inlineStr">
        <is>
          <t>FCF margin</t>
        </is>
      </c>
      <c r="B9" s="24">
        <f>DCF!B83</f>
        <v/>
      </c>
      <c r="C9" s="24">
        <f>DCF!C83</f>
        <v/>
      </c>
      <c r="D9" s="24">
        <f>DCF!D83</f>
        <v/>
      </c>
      <c r="E9" s="24">
        <f>DCF!E83</f>
        <v/>
      </c>
      <c r="F9" s="24">
        <f>DCF!F83</f>
        <v/>
      </c>
      <c r="G9" s="24">
        <f>DCF!G83</f>
        <v/>
      </c>
      <c r="H9" s="24">
        <f>DCF!H83</f>
        <v/>
      </c>
      <c r="I9" s="24">
        <f>DCF!I83</f>
        <v/>
      </c>
      <c r="J9" s="24">
        <f>DCF!J83</f>
        <v/>
      </c>
      <c r="K9" s="24">
        <f>DCF!K83</f>
        <v/>
      </c>
      <c r="L9" s="24">
        <f>DCF!L83</f>
        <v/>
      </c>
      <c r="M9" s="24">
        <f>DCF!M83</f>
        <v/>
      </c>
      <c r="N9" s="24">
        <f>DCF!N83</f>
        <v/>
      </c>
      <c r="O9" s="24">
        <f>DCF!O83</f>
        <v/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Balance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$M</t>
        </is>
      </c>
      <c r="B3" s="12" t="inlineStr">
        <is>
          <t>2022A</t>
        </is>
      </c>
      <c r="C3" s="12" t="inlineStr">
        <is>
          <t>2023A</t>
        </is>
      </c>
      <c r="D3" s="12" t="inlineStr">
        <is>
          <t>2024A</t>
        </is>
      </c>
      <c r="E3" s="12" t="inlineStr">
        <is>
          <t>2025A</t>
        </is>
      </c>
      <c r="F3" s="12" t="inlineStr">
        <is>
          <t>2026E</t>
        </is>
      </c>
      <c r="G3" s="12" t="inlineStr">
        <is>
          <t>2027E</t>
        </is>
      </c>
      <c r="H3" s="12" t="inlineStr">
        <is>
          <t>2028E</t>
        </is>
      </c>
      <c r="I3" s="12" t="inlineStr">
        <is>
          <t>2029E</t>
        </is>
      </c>
      <c r="J3" s="12" t="inlineStr">
        <is>
          <t>2030E</t>
        </is>
      </c>
      <c r="K3" s="12" t="inlineStr">
        <is>
          <t>2031E</t>
        </is>
      </c>
      <c r="L3" s="12" t="inlineStr">
        <is>
          <t>2032E</t>
        </is>
      </c>
      <c r="M3" s="12" t="inlineStr">
        <is>
          <t>2033E</t>
        </is>
      </c>
      <c r="N3" s="12" t="inlineStr">
        <is>
          <t>2034E</t>
        </is>
      </c>
      <c r="O3" s="12" t="inlineStr">
        <is>
          <t>2035E</t>
        </is>
      </c>
    </row>
    <row r="4">
      <c r="A4" s="3" t="inlineStr">
        <is>
          <t>Cash &amp; investments</t>
        </is>
      </c>
      <c r="B4" s="2" t="inlineStr"/>
      <c r="C4" s="2" t="inlineStr"/>
      <c r="D4" s="2" t="inlineStr"/>
      <c r="E4" s="9" t="n">
        <v>5740</v>
      </c>
      <c r="F4" s="10">
        <f>E4+MAX(0,DCF!F82*0.25)</f>
        <v/>
      </c>
      <c r="G4" s="10">
        <f>F4+MAX(0,DCF!G82*0.25)</f>
        <v/>
      </c>
      <c r="H4" s="10">
        <f>G4+MAX(0,DCF!H82*0.25)</f>
        <v/>
      </c>
      <c r="I4" s="10">
        <f>H4+MAX(0,DCF!I82*0.25)</f>
        <v/>
      </c>
      <c r="J4" s="10">
        <f>I4+MAX(0,DCF!J82*0.25)</f>
        <v/>
      </c>
      <c r="K4" s="10">
        <f>J4+MAX(0,DCF!K82*0.25)</f>
        <v/>
      </c>
      <c r="L4" s="10">
        <f>K4+MAX(0,DCF!L82*0.25)</f>
        <v/>
      </c>
      <c r="M4" s="10">
        <f>L4+MAX(0,DCF!M82*0.25)</f>
        <v/>
      </c>
      <c r="N4" s="10">
        <f>M4+MAX(0,DCF!N82*0.25)</f>
        <v/>
      </c>
      <c r="O4" s="10">
        <f>N4+MAX(0,DCF!O82*0.25)</f>
        <v/>
      </c>
    </row>
    <row r="5">
      <c r="A5" s="3" t="inlineStr">
        <is>
          <t>Total debt</t>
        </is>
      </c>
      <c r="B5" s="2" t="inlineStr"/>
      <c r="C5" s="2" t="inlineStr"/>
      <c r="D5" s="2" t="inlineStr"/>
      <c r="E5" s="9" t="n">
        <v>179</v>
      </c>
      <c r="F5" s="10">
        <f>E5</f>
        <v/>
      </c>
      <c r="G5" s="10">
        <f>F5</f>
        <v/>
      </c>
      <c r="H5" s="10">
        <f>G5</f>
        <v/>
      </c>
      <c r="I5" s="10">
        <f>H5</f>
        <v/>
      </c>
      <c r="J5" s="10">
        <f>I5</f>
        <v/>
      </c>
      <c r="K5" s="10">
        <f>J5</f>
        <v/>
      </c>
      <c r="L5" s="10">
        <f>K5</f>
        <v/>
      </c>
      <c r="M5" s="10">
        <f>L5</f>
        <v/>
      </c>
      <c r="N5" s="10">
        <f>M5</f>
        <v/>
      </c>
      <c r="O5" s="10">
        <f>N5</f>
        <v/>
      </c>
    </row>
    <row r="6">
      <c r="A6" s="3" t="inlineStr">
        <is>
          <t>Net cash</t>
        </is>
      </c>
      <c r="B6" s="2" t="inlineStr"/>
      <c r="C6" s="2" t="inlineStr"/>
      <c r="D6" s="2" t="inlineStr"/>
      <c r="E6" s="10">
        <f>E4-E5</f>
        <v/>
      </c>
      <c r="F6" s="10">
        <f>F4-F5</f>
        <v/>
      </c>
      <c r="G6" s="10">
        <f>G4-G5</f>
        <v/>
      </c>
      <c r="H6" s="10">
        <f>H4-H5</f>
        <v/>
      </c>
      <c r="I6" s="10">
        <f>I4-I5</f>
        <v/>
      </c>
      <c r="J6" s="10">
        <f>J4-J5</f>
        <v/>
      </c>
      <c r="K6" s="10">
        <f>K4-K5</f>
        <v/>
      </c>
      <c r="L6" s="10">
        <f>L4-L5</f>
        <v/>
      </c>
      <c r="M6" s="10">
        <f>M4-M5</f>
        <v/>
      </c>
      <c r="N6" s="10">
        <f>N4-N5</f>
        <v/>
      </c>
      <c r="O6" s="10">
        <f>O4-O5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3" t="inlineStr">
        <is>
          <t>Shares outstanding (M)</t>
        </is>
      </c>
      <c r="B8" s="25">
        <f>DCF!$B$9</f>
        <v/>
      </c>
      <c r="C8" s="25">
        <f>DCF!$B$9</f>
        <v/>
      </c>
      <c r="D8" s="25">
        <f>DCF!$B$9</f>
        <v/>
      </c>
      <c r="E8" s="25">
        <f>DCF!$B$9</f>
        <v/>
      </c>
      <c r="F8" s="25">
        <f>DCF!$B$9</f>
        <v/>
      </c>
      <c r="G8" s="25">
        <f>DCF!$B$9</f>
        <v/>
      </c>
      <c r="H8" s="25">
        <f>DCF!$B$9</f>
        <v/>
      </c>
      <c r="I8" s="25">
        <f>DCF!$B$9</f>
        <v/>
      </c>
      <c r="J8" s="25">
        <f>DCF!$B$9</f>
        <v/>
      </c>
      <c r="K8" s="25">
        <f>DCF!$B$9</f>
        <v/>
      </c>
      <c r="L8" s="25">
        <f>DCF!$B$9</f>
        <v/>
      </c>
      <c r="M8" s="25">
        <f>DCF!$B$9</f>
        <v/>
      </c>
      <c r="N8" s="25">
        <f>DCF!$B$9</f>
        <v/>
      </c>
      <c r="O8" s="25">
        <f>DCF!$B$9</f>
        <v/>
      </c>
    </row>
  </sheetData>
  <mergeCells count="1">
    <mergeCell ref="A1:O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Sensitivity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WACC vs Terminal Growth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inlineStr">
        <is>
          <t>WACC \ Terminal g</t>
        </is>
      </c>
      <c r="B5" s="14" t="n">
        <v>0.025</v>
      </c>
      <c r="C5" s="14" t="n">
        <v>0.03</v>
      </c>
      <c r="D5" s="14" t="n">
        <v>0.035</v>
      </c>
      <c r="E5" s="14" t="n">
        <v>0.04</v>
      </c>
      <c r="F5" s="14" t="n">
        <v>0.045</v>
      </c>
      <c r="G5" s="2" t="n"/>
      <c r="H5" s="2" t="n"/>
      <c r="I5" s="2" t="n"/>
      <c r="J5" s="2" t="n"/>
    </row>
    <row r="6">
      <c r="A6" s="26" t="n">
        <v>0.08500000000000001</v>
      </c>
      <c r="B6" s="21">
        <f>(DCF!F82/(1+A6)^0.5+DCF!G82/(1+A6)^1.5+DCF!H82/(1+A6)^2.5+DCF!I82/(1+A6)^3.5+DCF!J82/(1+A6)^4.5+DCF!K82/(1+A6)^5.5+DCF!L82/(1+A6)^6.5+DCF!M82/(1+A6)^7.5+DCF!N82/(1+A6)^8.5+DCF!O82/(1+A6)^9.5+(DCF!O82*(1+B5)/(A6-B5))/(1+A6)^9.5+DCF!$B$10-DCF!$B$11)/DCF!$B$9</f>
        <v/>
      </c>
      <c r="C6" s="21">
        <f>(DCF!F82/(1+A6)^0.5+DCF!G82/(1+A6)^1.5+DCF!H82/(1+A6)^2.5+DCF!I82/(1+A6)^3.5+DCF!J82/(1+A6)^4.5+DCF!K82/(1+A6)^5.5+DCF!L82/(1+A6)^6.5+DCF!M82/(1+A6)^7.5+DCF!N82/(1+A6)^8.5+DCF!O82/(1+A6)^9.5+(DCF!O82*(1+C5)/(A6-C5))/(1+A6)^9.5+DCF!$B$10-DCF!$B$11)/DCF!$B$9</f>
        <v/>
      </c>
      <c r="D6" s="21">
        <f>(DCF!F82/(1+A6)^0.5+DCF!G82/(1+A6)^1.5+DCF!H82/(1+A6)^2.5+DCF!I82/(1+A6)^3.5+DCF!J82/(1+A6)^4.5+DCF!K82/(1+A6)^5.5+DCF!L82/(1+A6)^6.5+DCF!M82/(1+A6)^7.5+DCF!N82/(1+A6)^8.5+DCF!O82/(1+A6)^9.5+(DCF!O82*(1+D5)/(A6-D5))/(1+A6)^9.5+DCF!$B$10-DCF!$B$11)/DCF!$B$9</f>
        <v/>
      </c>
      <c r="E6" s="21">
        <f>(DCF!F82/(1+A6)^0.5+DCF!G82/(1+A6)^1.5+DCF!H82/(1+A6)^2.5+DCF!I82/(1+A6)^3.5+DCF!J82/(1+A6)^4.5+DCF!K82/(1+A6)^5.5+DCF!L82/(1+A6)^6.5+DCF!M82/(1+A6)^7.5+DCF!N82/(1+A6)^8.5+DCF!O82/(1+A6)^9.5+(DCF!O82*(1+E5)/(A6-E5))/(1+A6)^9.5+DCF!$B$10-DCF!$B$11)/DCF!$B$9</f>
        <v/>
      </c>
      <c r="F6" s="21">
        <f>(DCF!F82/(1+A6)^0.5+DCF!G82/(1+A6)^1.5+DCF!H82/(1+A6)^2.5+DCF!I82/(1+A6)^3.5+DCF!J82/(1+A6)^4.5+DCF!K82/(1+A6)^5.5+DCF!L82/(1+A6)^6.5+DCF!M82/(1+A6)^7.5+DCF!N82/(1+A6)^8.5+DCF!O82/(1+A6)^9.5+(DCF!O82*(1+F5)/(A6-F5))/(1+A6)^9.5+DCF!$B$10-DCF!$B$11)/DCF!$B$9</f>
        <v/>
      </c>
      <c r="G6" s="2" t="n"/>
      <c r="H6" s="2" t="n"/>
      <c r="I6" s="2" t="n"/>
      <c r="J6" s="2" t="n"/>
    </row>
    <row r="7">
      <c r="A7" s="26" t="n">
        <v>0.09</v>
      </c>
      <c r="B7" s="21">
        <f>(DCF!F82/(1+A7)^0.5+DCF!G82/(1+A7)^1.5+DCF!H82/(1+A7)^2.5+DCF!I82/(1+A7)^3.5+DCF!J82/(1+A7)^4.5+DCF!K82/(1+A7)^5.5+DCF!L82/(1+A7)^6.5+DCF!M82/(1+A7)^7.5+DCF!N82/(1+A7)^8.5+DCF!O82/(1+A7)^9.5+(DCF!O82*(1+B5)/(A7-B5))/(1+A7)^9.5+DCF!$B$10-DCF!$B$11)/DCF!$B$9</f>
        <v/>
      </c>
      <c r="C7" s="21">
        <f>(DCF!F82/(1+A7)^0.5+DCF!G82/(1+A7)^1.5+DCF!H82/(1+A7)^2.5+DCF!I82/(1+A7)^3.5+DCF!J82/(1+A7)^4.5+DCF!K82/(1+A7)^5.5+DCF!L82/(1+A7)^6.5+DCF!M82/(1+A7)^7.5+DCF!N82/(1+A7)^8.5+DCF!O82/(1+A7)^9.5+(DCF!O82*(1+C5)/(A7-C5))/(1+A7)^9.5+DCF!$B$10-DCF!$B$11)/DCF!$B$9</f>
        <v/>
      </c>
      <c r="D7" s="21">
        <f>(DCF!F82/(1+A7)^0.5+DCF!G82/(1+A7)^1.5+DCF!H82/(1+A7)^2.5+DCF!I82/(1+A7)^3.5+DCF!J82/(1+A7)^4.5+DCF!K82/(1+A7)^5.5+DCF!L82/(1+A7)^6.5+DCF!M82/(1+A7)^7.5+DCF!N82/(1+A7)^8.5+DCF!O82/(1+A7)^9.5+(DCF!O82*(1+D5)/(A7-D5))/(1+A7)^9.5+DCF!$B$10-DCF!$B$11)/DCF!$B$9</f>
        <v/>
      </c>
      <c r="E7" s="21">
        <f>(DCF!F82/(1+A7)^0.5+DCF!G82/(1+A7)^1.5+DCF!H82/(1+A7)^2.5+DCF!I82/(1+A7)^3.5+DCF!J82/(1+A7)^4.5+DCF!K82/(1+A7)^5.5+DCF!L82/(1+A7)^6.5+DCF!M82/(1+A7)^7.5+DCF!N82/(1+A7)^8.5+DCF!O82/(1+A7)^9.5+(DCF!O82*(1+E5)/(A7-E5))/(1+A7)^9.5+DCF!$B$10-DCF!$B$11)/DCF!$B$9</f>
        <v/>
      </c>
      <c r="F7" s="21">
        <f>(DCF!F82/(1+A7)^0.5+DCF!G82/(1+A7)^1.5+DCF!H82/(1+A7)^2.5+DCF!I82/(1+A7)^3.5+DCF!J82/(1+A7)^4.5+DCF!K82/(1+A7)^5.5+DCF!L82/(1+A7)^6.5+DCF!M82/(1+A7)^7.5+DCF!N82/(1+A7)^8.5+DCF!O82/(1+A7)^9.5+(DCF!O82*(1+F5)/(A7-F5))/(1+A7)^9.5+DCF!$B$10-DCF!$B$11)/DCF!$B$9</f>
        <v/>
      </c>
      <c r="G7" s="2" t="n"/>
      <c r="H7" s="2" t="n"/>
      <c r="I7" s="2" t="n"/>
      <c r="J7" s="2" t="n"/>
    </row>
    <row r="8">
      <c r="A8" s="26" t="n">
        <v>0.095</v>
      </c>
      <c r="B8" s="21">
        <f>(DCF!F82/(1+A8)^0.5+DCF!G82/(1+A8)^1.5+DCF!H82/(1+A8)^2.5+DCF!I82/(1+A8)^3.5+DCF!J82/(1+A8)^4.5+DCF!K82/(1+A8)^5.5+DCF!L82/(1+A8)^6.5+DCF!M82/(1+A8)^7.5+DCF!N82/(1+A8)^8.5+DCF!O82/(1+A8)^9.5+(DCF!O82*(1+B5)/(A8-B5))/(1+A8)^9.5+DCF!$B$10-DCF!$B$11)/DCF!$B$9</f>
        <v/>
      </c>
      <c r="C8" s="21">
        <f>(DCF!F82/(1+A8)^0.5+DCF!G82/(1+A8)^1.5+DCF!H82/(1+A8)^2.5+DCF!I82/(1+A8)^3.5+DCF!J82/(1+A8)^4.5+DCF!K82/(1+A8)^5.5+DCF!L82/(1+A8)^6.5+DCF!M82/(1+A8)^7.5+DCF!N82/(1+A8)^8.5+DCF!O82/(1+A8)^9.5+(DCF!O82*(1+C5)/(A8-C5))/(1+A8)^9.5+DCF!$B$10-DCF!$B$11)/DCF!$B$9</f>
        <v/>
      </c>
      <c r="D8" s="20">
        <f>(DCF!F82/(1+A8)^0.5+DCF!G82/(1+A8)^1.5+DCF!H82/(1+A8)^2.5+DCF!I82/(1+A8)^3.5+DCF!J82/(1+A8)^4.5+DCF!K82/(1+A8)^5.5+DCF!L82/(1+A8)^6.5+DCF!M82/(1+A8)^7.5+DCF!N82/(1+A8)^8.5+DCF!O82/(1+A8)^9.5+(DCF!O82*(1+D5)/(A8-D5))/(1+A8)^9.5+DCF!$B$10-DCF!$B$11)/DCF!$B$9</f>
        <v/>
      </c>
      <c r="E8" s="21">
        <f>(DCF!F82/(1+A8)^0.5+DCF!G82/(1+A8)^1.5+DCF!H82/(1+A8)^2.5+DCF!I82/(1+A8)^3.5+DCF!J82/(1+A8)^4.5+DCF!K82/(1+A8)^5.5+DCF!L82/(1+A8)^6.5+DCF!M82/(1+A8)^7.5+DCF!N82/(1+A8)^8.5+DCF!O82/(1+A8)^9.5+(DCF!O82*(1+E5)/(A8-E5))/(1+A8)^9.5+DCF!$B$10-DCF!$B$11)/DCF!$B$9</f>
        <v/>
      </c>
      <c r="F8" s="21">
        <f>(DCF!F82/(1+A8)^0.5+DCF!G82/(1+A8)^1.5+DCF!H82/(1+A8)^2.5+DCF!I82/(1+A8)^3.5+DCF!J82/(1+A8)^4.5+DCF!K82/(1+A8)^5.5+DCF!L82/(1+A8)^6.5+DCF!M82/(1+A8)^7.5+DCF!N82/(1+A8)^8.5+DCF!O82/(1+A8)^9.5+(DCF!O82*(1+F5)/(A8-F5))/(1+A8)^9.5+DCF!$B$10-DCF!$B$11)/DCF!$B$9</f>
        <v/>
      </c>
      <c r="G8" s="2" t="n"/>
      <c r="H8" s="2" t="n"/>
      <c r="I8" s="2" t="n"/>
      <c r="J8" s="2" t="n"/>
    </row>
    <row r="9">
      <c r="A9" s="26" t="n">
        <v>0.1</v>
      </c>
      <c r="B9" s="21">
        <f>(DCF!F82/(1+A9)^0.5+DCF!G82/(1+A9)^1.5+DCF!H82/(1+A9)^2.5+DCF!I82/(1+A9)^3.5+DCF!J82/(1+A9)^4.5+DCF!K82/(1+A9)^5.5+DCF!L82/(1+A9)^6.5+DCF!M82/(1+A9)^7.5+DCF!N82/(1+A9)^8.5+DCF!O82/(1+A9)^9.5+(DCF!O82*(1+B5)/(A9-B5))/(1+A9)^9.5+DCF!$B$10-DCF!$B$11)/DCF!$B$9</f>
        <v/>
      </c>
      <c r="C9" s="21">
        <f>(DCF!F82/(1+A9)^0.5+DCF!G82/(1+A9)^1.5+DCF!H82/(1+A9)^2.5+DCF!I82/(1+A9)^3.5+DCF!J82/(1+A9)^4.5+DCF!K82/(1+A9)^5.5+DCF!L82/(1+A9)^6.5+DCF!M82/(1+A9)^7.5+DCF!N82/(1+A9)^8.5+DCF!O82/(1+A9)^9.5+(DCF!O82*(1+C5)/(A9-C5))/(1+A9)^9.5+DCF!$B$10-DCF!$B$11)/DCF!$B$9</f>
        <v/>
      </c>
      <c r="D9" s="21">
        <f>(DCF!F82/(1+A9)^0.5+DCF!G82/(1+A9)^1.5+DCF!H82/(1+A9)^2.5+DCF!I82/(1+A9)^3.5+DCF!J82/(1+A9)^4.5+DCF!K82/(1+A9)^5.5+DCF!L82/(1+A9)^6.5+DCF!M82/(1+A9)^7.5+DCF!N82/(1+A9)^8.5+DCF!O82/(1+A9)^9.5+(DCF!O82*(1+D5)/(A9-D5))/(1+A9)^9.5+DCF!$B$10-DCF!$B$11)/DCF!$B$9</f>
        <v/>
      </c>
      <c r="E9" s="21">
        <f>(DCF!F82/(1+A9)^0.5+DCF!G82/(1+A9)^1.5+DCF!H82/(1+A9)^2.5+DCF!I82/(1+A9)^3.5+DCF!J82/(1+A9)^4.5+DCF!K82/(1+A9)^5.5+DCF!L82/(1+A9)^6.5+DCF!M82/(1+A9)^7.5+DCF!N82/(1+A9)^8.5+DCF!O82/(1+A9)^9.5+(DCF!O82*(1+E5)/(A9-E5))/(1+A9)^9.5+DCF!$B$10-DCF!$B$11)/DCF!$B$9</f>
        <v/>
      </c>
      <c r="F9" s="21">
        <f>(DCF!F82/(1+A9)^0.5+DCF!G82/(1+A9)^1.5+DCF!H82/(1+A9)^2.5+DCF!I82/(1+A9)^3.5+DCF!J82/(1+A9)^4.5+DCF!K82/(1+A9)^5.5+DCF!L82/(1+A9)^6.5+DCF!M82/(1+A9)^7.5+DCF!N82/(1+A9)^8.5+DCF!O82/(1+A9)^9.5+(DCF!O82*(1+F5)/(A9-F5))/(1+A9)^9.5+DCF!$B$10-DCF!$B$11)/DCF!$B$9</f>
        <v/>
      </c>
      <c r="G9" s="2" t="n"/>
      <c r="H9" s="2" t="n"/>
      <c r="I9" s="2" t="n"/>
      <c r="J9" s="2" t="n"/>
    </row>
    <row r="10">
      <c r="A10" s="26" t="n">
        <v>0.105</v>
      </c>
      <c r="B10" s="21">
        <f>(DCF!F82/(1+A10)^0.5+DCF!G82/(1+A10)^1.5+DCF!H82/(1+A10)^2.5+DCF!I82/(1+A10)^3.5+DCF!J82/(1+A10)^4.5+DCF!K82/(1+A10)^5.5+DCF!L82/(1+A10)^6.5+DCF!M82/(1+A10)^7.5+DCF!N82/(1+A10)^8.5+DCF!O82/(1+A10)^9.5+(DCF!O82*(1+B5)/(A10-B5))/(1+A10)^9.5+DCF!$B$10-DCF!$B$11)/DCF!$B$9</f>
        <v/>
      </c>
      <c r="C10" s="21">
        <f>(DCF!F82/(1+A10)^0.5+DCF!G82/(1+A10)^1.5+DCF!H82/(1+A10)^2.5+DCF!I82/(1+A10)^3.5+DCF!J82/(1+A10)^4.5+DCF!K82/(1+A10)^5.5+DCF!L82/(1+A10)^6.5+DCF!M82/(1+A10)^7.5+DCF!N82/(1+A10)^8.5+DCF!O82/(1+A10)^9.5+(DCF!O82*(1+C5)/(A10-C5))/(1+A10)^9.5+DCF!$B$10-DCF!$B$11)/DCF!$B$9</f>
        <v/>
      </c>
      <c r="D10" s="21">
        <f>(DCF!F82/(1+A10)^0.5+DCF!G82/(1+A10)^1.5+DCF!H82/(1+A10)^2.5+DCF!I82/(1+A10)^3.5+DCF!J82/(1+A10)^4.5+DCF!K82/(1+A10)^5.5+DCF!L82/(1+A10)^6.5+DCF!M82/(1+A10)^7.5+DCF!N82/(1+A10)^8.5+DCF!O82/(1+A10)^9.5+(DCF!O82*(1+D5)/(A10-D5))/(1+A10)^9.5+DCF!$B$10-DCF!$B$11)/DCF!$B$9</f>
        <v/>
      </c>
      <c r="E10" s="21">
        <f>(DCF!F82/(1+A10)^0.5+DCF!G82/(1+A10)^1.5+DCF!H82/(1+A10)^2.5+DCF!I82/(1+A10)^3.5+DCF!J82/(1+A10)^4.5+DCF!K82/(1+A10)^5.5+DCF!L82/(1+A10)^6.5+DCF!M82/(1+A10)^7.5+DCF!N82/(1+A10)^8.5+DCF!O82/(1+A10)^9.5+(DCF!O82*(1+E5)/(A10-E5))/(1+A10)^9.5+DCF!$B$10-DCF!$B$11)/DCF!$B$9</f>
        <v/>
      </c>
      <c r="F10" s="21">
        <f>(DCF!F82/(1+A10)^0.5+DCF!G82/(1+A10)^1.5+DCF!H82/(1+A10)^2.5+DCF!I82/(1+A10)^3.5+DCF!J82/(1+A10)^4.5+DCF!K82/(1+A10)^5.5+DCF!L82/(1+A10)^6.5+DCF!M82/(1+A10)^7.5+DCF!N82/(1+A10)^8.5+DCF!O82/(1+A10)^9.5+(DCF!O82*(1+F5)/(A10-F5))/(1+A10)^9.5+DCF!$B$10-DCF!$B$11)/DCF!$B$9</f>
        <v/>
      </c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2029+ Revenue Growth vs Terminal FCF Margin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inlineStr">
        <is>
          <t>2029+ growth \ Terminal FCF margin</t>
        </is>
      </c>
      <c r="B15" s="14" t="n">
        <v>0.18</v>
      </c>
      <c r="C15" s="14" t="n">
        <v>0.2</v>
      </c>
      <c r="D15" s="14" t="n">
        <v>0.22</v>
      </c>
      <c r="E15" s="14" t="n">
        <v>0.24</v>
      </c>
      <c r="F15" s="14" t="n">
        <v>0.26</v>
      </c>
      <c r="G15" s="2" t="n"/>
      <c r="H15" s="2" t="n"/>
      <c r="I15" s="2" t="n"/>
      <c r="J15" s="2" t="n"/>
    </row>
    <row r="16">
      <c r="A16" s="26" t="n">
        <v>0.06</v>
      </c>
      <c r="B16" s="21">
        <f>(DCF!F82/(1+DCF!$B$97)^0.5+DCF!G82/(1+DCF!$B$97)^1.5+DCF!H82/(1+DCF!$B$97)^2.5+(DCF!H71*(1+A16)^1)*(18.5%+(B15-18.5%)*1/7)/(1+DCF!$B$97)^3.5+(DCF!H71*(1+A16)^2)*(18.5%+(B15-18.5%)*2/7)/(1+DCF!$B$97)^4.5+(DCF!H71*(1+A16)^3)*(18.5%+(B15-18.5%)*3/7)/(1+DCF!$B$97)^5.5+(DCF!H71*(1+A16)^4)*(18.5%+(B15-18.5%)*4/7)/(1+DCF!$B$97)^6.5+(DCF!H71*(1+A16)^5)*(18.5%+(B15-18.5%)*5/7)/(1+DCF!$B$97)^7.5+(DCF!H71*(1+A16)^6)*(18.5%+(B15-18.5%)*6/7)/(1+DCF!$B$97)^8.5+(DCF!H71*(1+A16)^7)*(18.5%+(B15-18.5%)*7/7)/(1+DCF!$B$97)^9.5+((DCF!H71*(1+A16)^7)*(18.5%+(B15-18.5%)*7/7)*(1+DCF!$B$98)/(DCF!$B$97-DCF!$B$98))/(1+DCF!$B$97)^9.5+DCF!$B$10-DCF!$B$11)/DCF!$B$9</f>
        <v/>
      </c>
      <c r="C16" s="21">
        <f>(DCF!F82/(1+DCF!$B$97)^0.5+DCF!G82/(1+DCF!$B$97)^1.5+DCF!H82/(1+DCF!$B$97)^2.5+(DCF!H71*(1+A16)^1)*(18.5%+(C15-18.5%)*1/7)/(1+DCF!$B$97)^3.5+(DCF!H71*(1+A16)^2)*(18.5%+(C15-18.5%)*2/7)/(1+DCF!$B$97)^4.5+(DCF!H71*(1+A16)^3)*(18.5%+(C15-18.5%)*3/7)/(1+DCF!$B$97)^5.5+(DCF!H71*(1+A16)^4)*(18.5%+(C15-18.5%)*4/7)/(1+DCF!$B$97)^6.5+(DCF!H71*(1+A16)^5)*(18.5%+(C15-18.5%)*5/7)/(1+DCF!$B$97)^7.5+(DCF!H71*(1+A16)^6)*(18.5%+(C15-18.5%)*6/7)/(1+DCF!$B$97)^8.5+(DCF!H71*(1+A16)^7)*(18.5%+(C15-18.5%)*7/7)/(1+DCF!$B$97)^9.5+((DCF!H71*(1+A16)^7)*(18.5%+(C15-18.5%)*7/7)*(1+DCF!$B$98)/(DCF!$B$97-DCF!$B$98))/(1+DCF!$B$97)^9.5+DCF!$B$10-DCF!$B$11)/DCF!$B$9</f>
        <v/>
      </c>
      <c r="D16" s="21">
        <f>(DCF!F82/(1+DCF!$B$97)^0.5+DCF!G82/(1+DCF!$B$97)^1.5+DCF!H82/(1+DCF!$B$97)^2.5+(DCF!H71*(1+A16)^1)*(18.5%+(D15-18.5%)*1/7)/(1+DCF!$B$97)^3.5+(DCF!H71*(1+A16)^2)*(18.5%+(D15-18.5%)*2/7)/(1+DCF!$B$97)^4.5+(DCF!H71*(1+A16)^3)*(18.5%+(D15-18.5%)*3/7)/(1+DCF!$B$97)^5.5+(DCF!H71*(1+A16)^4)*(18.5%+(D15-18.5%)*4/7)/(1+DCF!$B$97)^6.5+(DCF!H71*(1+A16)^5)*(18.5%+(D15-18.5%)*5/7)/(1+DCF!$B$97)^7.5+(DCF!H71*(1+A16)^6)*(18.5%+(D15-18.5%)*6/7)/(1+DCF!$B$97)^8.5+(DCF!H71*(1+A16)^7)*(18.5%+(D15-18.5%)*7/7)/(1+DCF!$B$97)^9.5+((DCF!H71*(1+A16)^7)*(18.5%+(D15-18.5%)*7/7)*(1+DCF!$B$98)/(DCF!$B$97-DCF!$B$98))/(1+DCF!$B$97)^9.5+DCF!$B$10-DCF!$B$11)/DCF!$B$9</f>
        <v/>
      </c>
      <c r="E16" s="21">
        <f>(DCF!F82/(1+DCF!$B$97)^0.5+DCF!G82/(1+DCF!$B$97)^1.5+DCF!H82/(1+DCF!$B$97)^2.5+(DCF!H71*(1+A16)^1)*(18.5%+(E15-18.5%)*1/7)/(1+DCF!$B$97)^3.5+(DCF!H71*(1+A16)^2)*(18.5%+(E15-18.5%)*2/7)/(1+DCF!$B$97)^4.5+(DCF!H71*(1+A16)^3)*(18.5%+(E15-18.5%)*3/7)/(1+DCF!$B$97)^5.5+(DCF!H71*(1+A16)^4)*(18.5%+(E15-18.5%)*4/7)/(1+DCF!$B$97)^6.5+(DCF!H71*(1+A16)^5)*(18.5%+(E15-18.5%)*5/7)/(1+DCF!$B$97)^7.5+(DCF!H71*(1+A16)^6)*(18.5%+(E15-18.5%)*6/7)/(1+DCF!$B$97)^8.5+(DCF!H71*(1+A16)^7)*(18.5%+(E15-18.5%)*7/7)/(1+DCF!$B$97)^9.5+((DCF!H71*(1+A16)^7)*(18.5%+(E15-18.5%)*7/7)*(1+DCF!$B$98)/(DCF!$B$97-DCF!$B$98))/(1+DCF!$B$97)^9.5+DCF!$B$10-DCF!$B$11)/DCF!$B$9</f>
        <v/>
      </c>
      <c r="F16" s="21">
        <f>(DCF!F82/(1+DCF!$B$97)^0.5+DCF!G82/(1+DCF!$B$97)^1.5+DCF!H82/(1+DCF!$B$97)^2.5+(DCF!H71*(1+A16)^1)*(18.5%+(F15-18.5%)*1/7)/(1+DCF!$B$97)^3.5+(DCF!H71*(1+A16)^2)*(18.5%+(F15-18.5%)*2/7)/(1+DCF!$B$97)^4.5+(DCF!H71*(1+A16)^3)*(18.5%+(F15-18.5%)*3/7)/(1+DCF!$B$97)^5.5+(DCF!H71*(1+A16)^4)*(18.5%+(F15-18.5%)*4/7)/(1+DCF!$B$97)^6.5+(DCF!H71*(1+A16)^5)*(18.5%+(F15-18.5%)*5/7)/(1+DCF!$B$97)^7.5+(DCF!H71*(1+A16)^6)*(18.5%+(F15-18.5%)*6/7)/(1+DCF!$B$97)^8.5+(DCF!H71*(1+A16)^7)*(18.5%+(F15-18.5%)*7/7)/(1+DCF!$B$97)^9.5+((DCF!H71*(1+A16)^7)*(18.5%+(F15-18.5%)*7/7)*(1+DCF!$B$98)/(DCF!$B$97-DCF!$B$98))/(1+DCF!$B$97)^9.5+DCF!$B$10-DCF!$B$11)/DCF!$B$9</f>
        <v/>
      </c>
      <c r="G16" s="2" t="n"/>
      <c r="H16" s="2" t="n"/>
      <c r="I16" s="2" t="n"/>
      <c r="J16" s="2" t="n"/>
    </row>
    <row r="17">
      <c r="A17" s="26" t="n">
        <v>0.08</v>
      </c>
      <c r="B17" s="21">
        <f>(DCF!F82/(1+DCF!$B$97)^0.5+DCF!G82/(1+DCF!$B$97)^1.5+DCF!H82/(1+DCF!$B$97)^2.5+(DCF!H71*(1+A17)^1)*(18.5%+(B15-18.5%)*1/7)/(1+DCF!$B$97)^3.5+(DCF!H71*(1+A17)^2)*(18.5%+(B15-18.5%)*2/7)/(1+DCF!$B$97)^4.5+(DCF!H71*(1+A17)^3)*(18.5%+(B15-18.5%)*3/7)/(1+DCF!$B$97)^5.5+(DCF!H71*(1+A17)^4)*(18.5%+(B15-18.5%)*4/7)/(1+DCF!$B$97)^6.5+(DCF!H71*(1+A17)^5)*(18.5%+(B15-18.5%)*5/7)/(1+DCF!$B$97)^7.5+(DCF!H71*(1+A17)^6)*(18.5%+(B15-18.5%)*6/7)/(1+DCF!$B$97)^8.5+(DCF!H71*(1+A17)^7)*(18.5%+(B15-18.5%)*7/7)/(1+DCF!$B$97)^9.5+((DCF!H71*(1+A17)^7)*(18.5%+(B15-18.5%)*7/7)*(1+DCF!$B$98)/(DCF!$B$97-DCF!$B$98))/(1+DCF!$B$97)^9.5+DCF!$B$10-DCF!$B$11)/DCF!$B$9</f>
        <v/>
      </c>
      <c r="C17" s="21">
        <f>(DCF!F82/(1+DCF!$B$97)^0.5+DCF!G82/(1+DCF!$B$97)^1.5+DCF!H82/(1+DCF!$B$97)^2.5+(DCF!H71*(1+A17)^1)*(18.5%+(C15-18.5%)*1/7)/(1+DCF!$B$97)^3.5+(DCF!H71*(1+A17)^2)*(18.5%+(C15-18.5%)*2/7)/(1+DCF!$B$97)^4.5+(DCF!H71*(1+A17)^3)*(18.5%+(C15-18.5%)*3/7)/(1+DCF!$B$97)^5.5+(DCF!H71*(1+A17)^4)*(18.5%+(C15-18.5%)*4/7)/(1+DCF!$B$97)^6.5+(DCF!H71*(1+A17)^5)*(18.5%+(C15-18.5%)*5/7)/(1+DCF!$B$97)^7.5+(DCF!H71*(1+A17)^6)*(18.5%+(C15-18.5%)*6/7)/(1+DCF!$B$97)^8.5+(DCF!H71*(1+A17)^7)*(18.5%+(C15-18.5%)*7/7)/(1+DCF!$B$97)^9.5+((DCF!H71*(1+A17)^7)*(18.5%+(C15-18.5%)*7/7)*(1+DCF!$B$98)/(DCF!$B$97-DCF!$B$98))/(1+DCF!$B$97)^9.5+DCF!$B$10-DCF!$B$11)/DCF!$B$9</f>
        <v/>
      </c>
      <c r="D17" s="21">
        <f>(DCF!F82/(1+DCF!$B$97)^0.5+DCF!G82/(1+DCF!$B$97)^1.5+DCF!H82/(1+DCF!$B$97)^2.5+(DCF!H71*(1+A17)^1)*(18.5%+(D15-18.5%)*1/7)/(1+DCF!$B$97)^3.5+(DCF!H71*(1+A17)^2)*(18.5%+(D15-18.5%)*2/7)/(1+DCF!$B$97)^4.5+(DCF!H71*(1+A17)^3)*(18.5%+(D15-18.5%)*3/7)/(1+DCF!$B$97)^5.5+(DCF!H71*(1+A17)^4)*(18.5%+(D15-18.5%)*4/7)/(1+DCF!$B$97)^6.5+(DCF!H71*(1+A17)^5)*(18.5%+(D15-18.5%)*5/7)/(1+DCF!$B$97)^7.5+(DCF!H71*(1+A17)^6)*(18.5%+(D15-18.5%)*6/7)/(1+DCF!$B$97)^8.5+(DCF!H71*(1+A17)^7)*(18.5%+(D15-18.5%)*7/7)/(1+DCF!$B$97)^9.5+((DCF!H71*(1+A17)^7)*(18.5%+(D15-18.5%)*7/7)*(1+DCF!$B$98)/(DCF!$B$97-DCF!$B$98))/(1+DCF!$B$97)^9.5+DCF!$B$10-DCF!$B$11)/DCF!$B$9</f>
        <v/>
      </c>
      <c r="E17" s="21">
        <f>(DCF!F82/(1+DCF!$B$97)^0.5+DCF!G82/(1+DCF!$B$97)^1.5+DCF!H82/(1+DCF!$B$97)^2.5+(DCF!H71*(1+A17)^1)*(18.5%+(E15-18.5%)*1/7)/(1+DCF!$B$97)^3.5+(DCF!H71*(1+A17)^2)*(18.5%+(E15-18.5%)*2/7)/(1+DCF!$B$97)^4.5+(DCF!H71*(1+A17)^3)*(18.5%+(E15-18.5%)*3/7)/(1+DCF!$B$97)^5.5+(DCF!H71*(1+A17)^4)*(18.5%+(E15-18.5%)*4/7)/(1+DCF!$B$97)^6.5+(DCF!H71*(1+A17)^5)*(18.5%+(E15-18.5%)*5/7)/(1+DCF!$B$97)^7.5+(DCF!H71*(1+A17)^6)*(18.5%+(E15-18.5%)*6/7)/(1+DCF!$B$97)^8.5+(DCF!H71*(1+A17)^7)*(18.5%+(E15-18.5%)*7/7)/(1+DCF!$B$97)^9.5+((DCF!H71*(1+A17)^7)*(18.5%+(E15-18.5%)*7/7)*(1+DCF!$B$98)/(DCF!$B$97-DCF!$B$98))/(1+DCF!$B$97)^9.5+DCF!$B$10-DCF!$B$11)/DCF!$B$9</f>
        <v/>
      </c>
      <c r="F17" s="21">
        <f>(DCF!F82/(1+DCF!$B$97)^0.5+DCF!G82/(1+DCF!$B$97)^1.5+DCF!H82/(1+DCF!$B$97)^2.5+(DCF!H71*(1+A17)^1)*(18.5%+(F15-18.5%)*1/7)/(1+DCF!$B$97)^3.5+(DCF!H71*(1+A17)^2)*(18.5%+(F15-18.5%)*2/7)/(1+DCF!$B$97)^4.5+(DCF!H71*(1+A17)^3)*(18.5%+(F15-18.5%)*3/7)/(1+DCF!$B$97)^5.5+(DCF!H71*(1+A17)^4)*(18.5%+(F15-18.5%)*4/7)/(1+DCF!$B$97)^6.5+(DCF!H71*(1+A17)^5)*(18.5%+(F15-18.5%)*5/7)/(1+DCF!$B$97)^7.5+(DCF!H71*(1+A17)^6)*(18.5%+(F15-18.5%)*6/7)/(1+DCF!$B$97)^8.5+(DCF!H71*(1+A17)^7)*(18.5%+(F15-18.5%)*7/7)/(1+DCF!$B$97)^9.5+((DCF!H71*(1+A17)^7)*(18.5%+(F15-18.5%)*7/7)*(1+DCF!$B$98)/(DCF!$B$97-DCF!$B$98))/(1+DCF!$B$97)^9.5+DCF!$B$10-DCF!$B$11)/DCF!$B$9</f>
        <v/>
      </c>
      <c r="G17" s="2" t="n"/>
      <c r="H17" s="2" t="n"/>
      <c r="I17" s="2" t="n"/>
      <c r="J17" s="2" t="n"/>
    </row>
    <row r="18">
      <c r="A18" s="26" t="n">
        <v>0.1</v>
      </c>
      <c r="B18" s="21">
        <f>(DCF!F82/(1+DCF!$B$97)^0.5+DCF!G82/(1+DCF!$B$97)^1.5+DCF!H82/(1+DCF!$B$97)^2.5+(DCF!H71*(1+A18)^1)*(18.5%+(B15-18.5%)*1/7)/(1+DCF!$B$97)^3.5+(DCF!H71*(1+A18)^2)*(18.5%+(B15-18.5%)*2/7)/(1+DCF!$B$97)^4.5+(DCF!H71*(1+A18)^3)*(18.5%+(B15-18.5%)*3/7)/(1+DCF!$B$97)^5.5+(DCF!H71*(1+A18)^4)*(18.5%+(B15-18.5%)*4/7)/(1+DCF!$B$97)^6.5+(DCF!H71*(1+A18)^5)*(18.5%+(B15-18.5%)*5/7)/(1+DCF!$B$97)^7.5+(DCF!H71*(1+A18)^6)*(18.5%+(B15-18.5%)*6/7)/(1+DCF!$B$97)^8.5+(DCF!H71*(1+A18)^7)*(18.5%+(B15-18.5%)*7/7)/(1+DCF!$B$97)^9.5+((DCF!H71*(1+A18)^7)*(18.5%+(B15-18.5%)*7/7)*(1+DCF!$B$98)/(DCF!$B$97-DCF!$B$98))/(1+DCF!$B$97)^9.5+DCF!$B$10-DCF!$B$11)/DCF!$B$9</f>
        <v/>
      </c>
      <c r="C18" s="21">
        <f>(DCF!F82/(1+DCF!$B$97)^0.5+DCF!G82/(1+DCF!$B$97)^1.5+DCF!H82/(1+DCF!$B$97)^2.5+(DCF!H71*(1+A18)^1)*(18.5%+(C15-18.5%)*1/7)/(1+DCF!$B$97)^3.5+(DCF!H71*(1+A18)^2)*(18.5%+(C15-18.5%)*2/7)/(1+DCF!$B$97)^4.5+(DCF!H71*(1+A18)^3)*(18.5%+(C15-18.5%)*3/7)/(1+DCF!$B$97)^5.5+(DCF!H71*(1+A18)^4)*(18.5%+(C15-18.5%)*4/7)/(1+DCF!$B$97)^6.5+(DCF!H71*(1+A18)^5)*(18.5%+(C15-18.5%)*5/7)/(1+DCF!$B$97)^7.5+(DCF!H71*(1+A18)^6)*(18.5%+(C15-18.5%)*6/7)/(1+DCF!$B$97)^8.5+(DCF!H71*(1+A18)^7)*(18.5%+(C15-18.5%)*7/7)/(1+DCF!$B$97)^9.5+((DCF!H71*(1+A18)^7)*(18.5%+(C15-18.5%)*7/7)*(1+DCF!$B$98)/(DCF!$B$97-DCF!$B$98))/(1+DCF!$B$97)^9.5+DCF!$B$10-DCF!$B$11)/DCF!$B$9</f>
        <v/>
      </c>
      <c r="D18" s="20">
        <f>(DCF!F82/(1+DCF!$B$97)^0.5+DCF!G82/(1+DCF!$B$97)^1.5+DCF!H82/(1+DCF!$B$97)^2.5+(DCF!H71*(1+A18)^1)*(18.5%+(D15-18.5%)*1/7)/(1+DCF!$B$97)^3.5+(DCF!H71*(1+A18)^2)*(18.5%+(D15-18.5%)*2/7)/(1+DCF!$B$97)^4.5+(DCF!H71*(1+A18)^3)*(18.5%+(D15-18.5%)*3/7)/(1+DCF!$B$97)^5.5+(DCF!H71*(1+A18)^4)*(18.5%+(D15-18.5%)*4/7)/(1+DCF!$B$97)^6.5+(DCF!H71*(1+A18)^5)*(18.5%+(D15-18.5%)*5/7)/(1+DCF!$B$97)^7.5+(DCF!H71*(1+A18)^6)*(18.5%+(D15-18.5%)*6/7)/(1+DCF!$B$97)^8.5+(DCF!H71*(1+A18)^7)*(18.5%+(D15-18.5%)*7/7)/(1+DCF!$B$97)^9.5+((DCF!H71*(1+A18)^7)*(18.5%+(D15-18.5%)*7/7)*(1+DCF!$B$98)/(DCF!$B$97-DCF!$B$98))/(1+DCF!$B$97)^9.5+DCF!$B$10-DCF!$B$11)/DCF!$B$9</f>
        <v/>
      </c>
      <c r="E18" s="21">
        <f>(DCF!F82/(1+DCF!$B$97)^0.5+DCF!G82/(1+DCF!$B$97)^1.5+DCF!H82/(1+DCF!$B$97)^2.5+(DCF!H71*(1+A18)^1)*(18.5%+(E15-18.5%)*1/7)/(1+DCF!$B$97)^3.5+(DCF!H71*(1+A18)^2)*(18.5%+(E15-18.5%)*2/7)/(1+DCF!$B$97)^4.5+(DCF!H71*(1+A18)^3)*(18.5%+(E15-18.5%)*3/7)/(1+DCF!$B$97)^5.5+(DCF!H71*(1+A18)^4)*(18.5%+(E15-18.5%)*4/7)/(1+DCF!$B$97)^6.5+(DCF!H71*(1+A18)^5)*(18.5%+(E15-18.5%)*5/7)/(1+DCF!$B$97)^7.5+(DCF!H71*(1+A18)^6)*(18.5%+(E15-18.5%)*6/7)/(1+DCF!$B$97)^8.5+(DCF!H71*(1+A18)^7)*(18.5%+(E15-18.5%)*7/7)/(1+DCF!$B$97)^9.5+((DCF!H71*(1+A18)^7)*(18.5%+(E15-18.5%)*7/7)*(1+DCF!$B$98)/(DCF!$B$97-DCF!$B$98))/(1+DCF!$B$97)^9.5+DCF!$B$10-DCF!$B$11)/DCF!$B$9</f>
        <v/>
      </c>
      <c r="F18" s="21">
        <f>(DCF!F82/(1+DCF!$B$97)^0.5+DCF!G82/(1+DCF!$B$97)^1.5+DCF!H82/(1+DCF!$B$97)^2.5+(DCF!H71*(1+A18)^1)*(18.5%+(F15-18.5%)*1/7)/(1+DCF!$B$97)^3.5+(DCF!H71*(1+A18)^2)*(18.5%+(F15-18.5%)*2/7)/(1+DCF!$B$97)^4.5+(DCF!H71*(1+A18)^3)*(18.5%+(F15-18.5%)*3/7)/(1+DCF!$B$97)^5.5+(DCF!H71*(1+A18)^4)*(18.5%+(F15-18.5%)*4/7)/(1+DCF!$B$97)^6.5+(DCF!H71*(1+A18)^5)*(18.5%+(F15-18.5%)*5/7)/(1+DCF!$B$97)^7.5+(DCF!H71*(1+A18)^6)*(18.5%+(F15-18.5%)*6/7)/(1+DCF!$B$97)^8.5+(DCF!H71*(1+A18)^7)*(18.5%+(F15-18.5%)*7/7)/(1+DCF!$B$97)^9.5+((DCF!H71*(1+A18)^7)*(18.5%+(F15-18.5%)*7/7)*(1+DCF!$B$98)/(DCF!$B$97-DCF!$B$98))/(1+DCF!$B$97)^9.5+DCF!$B$10-DCF!$B$11)/DCF!$B$9</f>
        <v/>
      </c>
      <c r="G18" s="2" t="n"/>
      <c r="H18" s="2" t="n"/>
      <c r="I18" s="2" t="n"/>
      <c r="J18" s="2" t="n"/>
    </row>
    <row r="19">
      <c r="A19" s="26" t="n">
        <v>0.12</v>
      </c>
      <c r="B19" s="21">
        <f>(DCF!F82/(1+DCF!$B$97)^0.5+DCF!G82/(1+DCF!$B$97)^1.5+DCF!H82/(1+DCF!$B$97)^2.5+(DCF!H71*(1+A19)^1)*(18.5%+(B15-18.5%)*1/7)/(1+DCF!$B$97)^3.5+(DCF!H71*(1+A19)^2)*(18.5%+(B15-18.5%)*2/7)/(1+DCF!$B$97)^4.5+(DCF!H71*(1+A19)^3)*(18.5%+(B15-18.5%)*3/7)/(1+DCF!$B$97)^5.5+(DCF!H71*(1+A19)^4)*(18.5%+(B15-18.5%)*4/7)/(1+DCF!$B$97)^6.5+(DCF!H71*(1+A19)^5)*(18.5%+(B15-18.5%)*5/7)/(1+DCF!$B$97)^7.5+(DCF!H71*(1+A19)^6)*(18.5%+(B15-18.5%)*6/7)/(1+DCF!$B$97)^8.5+(DCF!H71*(1+A19)^7)*(18.5%+(B15-18.5%)*7/7)/(1+DCF!$B$97)^9.5+((DCF!H71*(1+A19)^7)*(18.5%+(B15-18.5%)*7/7)*(1+DCF!$B$98)/(DCF!$B$97-DCF!$B$98))/(1+DCF!$B$97)^9.5+DCF!$B$10-DCF!$B$11)/DCF!$B$9</f>
        <v/>
      </c>
      <c r="C19" s="21">
        <f>(DCF!F82/(1+DCF!$B$97)^0.5+DCF!G82/(1+DCF!$B$97)^1.5+DCF!H82/(1+DCF!$B$97)^2.5+(DCF!H71*(1+A19)^1)*(18.5%+(C15-18.5%)*1/7)/(1+DCF!$B$97)^3.5+(DCF!H71*(1+A19)^2)*(18.5%+(C15-18.5%)*2/7)/(1+DCF!$B$97)^4.5+(DCF!H71*(1+A19)^3)*(18.5%+(C15-18.5%)*3/7)/(1+DCF!$B$97)^5.5+(DCF!H71*(1+A19)^4)*(18.5%+(C15-18.5%)*4/7)/(1+DCF!$B$97)^6.5+(DCF!H71*(1+A19)^5)*(18.5%+(C15-18.5%)*5/7)/(1+DCF!$B$97)^7.5+(DCF!H71*(1+A19)^6)*(18.5%+(C15-18.5%)*6/7)/(1+DCF!$B$97)^8.5+(DCF!H71*(1+A19)^7)*(18.5%+(C15-18.5%)*7/7)/(1+DCF!$B$97)^9.5+((DCF!H71*(1+A19)^7)*(18.5%+(C15-18.5%)*7/7)*(1+DCF!$B$98)/(DCF!$B$97-DCF!$B$98))/(1+DCF!$B$97)^9.5+DCF!$B$10-DCF!$B$11)/DCF!$B$9</f>
        <v/>
      </c>
      <c r="D19" s="21">
        <f>(DCF!F82/(1+DCF!$B$97)^0.5+DCF!G82/(1+DCF!$B$97)^1.5+DCF!H82/(1+DCF!$B$97)^2.5+(DCF!H71*(1+A19)^1)*(18.5%+(D15-18.5%)*1/7)/(1+DCF!$B$97)^3.5+(DCF!H71*(1+A19)^2)*(18.5%+(D15-18.5%)*2/7)/(1+DCF!$B$97)^4.5+(DCF!H71*(1+A19)^3)*(18.5%+(D15-18.5%)*3/7)/(1+DCF!$B$97)^5.5+(DCF!H71*(1+A19)^4)*(18.5%+(D15-18.5%)*4/7)/(1+DCF!$B$97)^6.5+(DCF!H71*(1+A19)^5)*(18.5%+(D15-18.5%)*5/7)/(1+DCF!$B$97)^7.5+(DCF!H71*(1+A19)^6)*(18.5%+(D15-18.5%)*6/7)/(1+DCF!$B$97)^8.5+(DCF!H71*(1+A19)^7)*(18.5%+(D15-18.5%)*7/7)/(1+DCF!$B$97)^9.5+((DCF!H71*(1+A19)^7)*(18.5%+(D15-18.5%)*7/7)*(1+DCF!$B$98)/(DCF!$B$97-DCF!$B$98))/(1+DCF!$B$97)^9.5+DCF!$B$10-DCF!$B$11)/DCF!$B$9</f>
        <v/>
      </c>
      <c r="E19" s="21">
        <f>(DCF!F82/(1+DCF!$B$97)^0.5+DCF!G82/(1+DCF!$B$97)^1.5+DCF!H82/(1+DCF!$B$97)^2.5+(DCF!H71*(1+A19)^1)*(18.5%+(E15-18.5%)*1/7)/(1+DCF!$B$97)^3.5+(DCF!H71*(1+A19)^2)*(18.5%+(E15-18.5%)*2/7)/(1+DCF!$B$97)^4.5+(DCF!H71*(1+A19)^3)*(18.5%+(E15-18.5%)*3/7)/(1+DCF!$B$97)^5.5+(DCF!H71*(1+A19)^4)*(18.5%+(E15-18.5%)*4/7)/(1+DCF!$B$97)^6.5+(DCF!H71*(1+A19)^5)*(18.5%+(E15-18.5%)*5/7)/(1+DCF!$B$97)^7.5+(DCF!H71*(1+A19)^6)*(18.5%+(E15-18.5%)*6/7)/(1+DCF!$B$97)^8.5+(DCF!H71*(1+A19)^7)*(18.5%+(E15-18.5%)*7/7)/(1+DCF!$B$97)^9.5+((DCF!H71*(1+A19)^7)*(18.5%+(E15-18.5%)*7/7)*(1+DCF!$B$98)/(DCF!$B$97-DCF!$B$98))/(1+DCF!$B$97)^9.5+DCF!$B$10-DCF!$B$11)/DCF!$B$9</f>
        <v/>
      </c>
      <c r="F19" s="21">
        <f>(DCF!F82/(1+DCF!$B$97)^0.5+DCF!G82/(1+DCF!$B$97)^1.5+DCF!H82/(1+DCF!$B$97)^2.5+(DCF!H71*(1+A19)^1)*(18.5%+(F15-18.5%)*1/7)/(1+DCF!$B$97)^3.5+(DCF!H71*(1+A19)^2)*(18.5%+(F15-18.5%)*2/7)/(1+DCF!$B$97)^4.5+(DCF!H71*(1+A19)^3)*(18.5%+(F15-18.5%)*3/7)/(1+DCF!$B$97)^5.5+(DCF!H71*(1+A19)^4)*(18.5%+(F15-18.5%)*4/7)/(1+DCF!$B$97)^6.5+(DCF!H71*(1+A19)^5)*(18.5%+(F15-18.5%)*5/7)/(1+DCF!$B$97)^7.5+(DCF!H71*(1+A19)^6)*(18.5%+(F15-18.5%)*6/7)/(1+DCF!$B$97)^8.5+(DCF!H71*(1+A19)^7)*(18.5%+(F15-18.5%)*7/7)/(1+DCF!$B$97)^9.5+((DCF!H71*(1+A19)^7)*(18.5%+(F15-18.5%)*7/7)*(1+DCF!$B$98)/(DCF!$B$97-DCF!$B$98))/(1+DCF!$B$97)^9.5+DCF!$B$10-DCF!$B$11)/DCF!$B$9</f>
        <v/>
      </c>
      <c r="G19" s="2" t="n"/>
      <c r="H19" s="2" t="n"/>
      <c r="I19" s="2" t="n"/>
      <c r="J19" s="2" t="n"/>
    </row>
    <row r="20">
      <c r="A20" s="26" t="n">
        <v>0.14</v>
      </c>
      <c r="B20" s="21">
        <f>(DCF!F82/(1+DCF!$B$97)^0.5+DCF!G82/(1+DCF!$B$97)^1.5+DCF!H82/(1+DCF!$B$97)^2.5+(DCF!H71*(1+A20)^1)*(18.5%+(B15-18.5%)*1/7)/(1+DCF!$B$97)^3.5+(DCF!H71*(1+A20)^2)*(18.5%+(B15-18.5%)*2/7)/(1+DCF!$B$97)^4.5+(DCF!H71*(1+A20)^3)*(18.5%+(B15-18.5%)*3/7)/(1+DCF!$B$97)^5.5+(DCF!H71*(1+A20)^4)*(18.5%+(B15-18.5%)*4/7)/(1+DCF!$B$97)^6.5+(DCF!H71*(1+A20)^5)*(18.5%+(B15-18.5%)*5/7)/(1+DCF!$B$97)^7.5+(DCF!H71*(1+A20)^6)*(18.5%+(B15-18.5%)*6/7)/(1+DCF!$B$97)^8.5+(DCF!H71*(1+A20)^7)*(18.5%+(B15-18.5%)*7/7)/(1+DCF!$B$97)^9.5+((DCF!H71*(1+A20)^7)*(18.5%+(B15-18.5%)*7/7)*(1+DCF!$B$98)/(DCF!$B$97-DCF!$B$98))/(1+DCF!$B$97)^9.5+DCF!$B$10-DCF!$B$11)/DCF!$B$9</f>
        <v/>
      </c>
      <c r="C20" s="21">
        <f>(DCF!F82/(1+DCF!$B$97)^0.5+DCF!G82/(1+DCF!$B$97)^1.5+DCF!H82/(1+DCF!$B$97)^2.5+(DCF!H71*(1+A20)^1)*(18.5%+(C15-18.5%)*1/7)/(1+DCF!$B$97)^3.5+(DCF!H71*(1+A20)^2)*(18.5%+(C15-18.5%)*2/7)/(1+DCF!$B$97)^4.5+(DCF!H71*(1+A20)^3)*(18.5%+(C15-18.5%)*3/7)/(1+DCF!$B$97)^5.5+(DCF!H71*(1+A20)^4)*(18.5%+(C15-18.5%)*4/7)/(1+DCF!$B$97)^6.5+(DCF!H71*(1+A20)^5)*(18.5%+(C15-18.5%)*5/7)/(1+DCF!$B$97)^7.5+(DCF!H71*(1+A20)^6)*(18.5%+(C15-18.5%)*6/7)/(1+DCF!$B$97)^8.5+(DCF!H71*(1+A20)^7)*(18.5%+(C15-18.5%)*7/7)/(1+DCF!$B$97)^9.5+((DCF!H71*(1+A20)^7)*(18.5%+(C15-18.5%)*7/7)*(1+DCF!$B$98)/(DCF!$B$97-DCF!$B$98))/(1+DCF!$B$97)^9.5+DCF!$B$10-DCF!$B$11)/DCF!$B$9</f>
        <v/>
      </c>
      <c r="D20" s="21">
        <f>(DCF!F82/(1+DCF!$B$97)^0.5+DCF!G82/(1+DCF!$B$97)^1.5+DCF!H82/(1+DCF!$B$97)^2.5+(DCF!H71*(1+A20)^1)*(18.5%+(D15-18.5%)*1/7)/(1+DCF!$B$97)^3.5+(DCF!H71*(1+A20)^2)*(18.5%+(D15-18.5%)*2/7)/(1+DCF!$B$97)^4.5+(DCF!H71*(1+A20)^3)*(18.5%+(D15-18.5%)*3/7)/(1+DCF!$B$97)^5.5+(DCF!H71*(1+A20)^4)*(18.5%+(D15-18.5%)*4/7)/(1+DCF!$B$97)^6.5+(DCF!H71*(1+A20)^5)*(18.5%+(D15-18.5%)*5/7)/(1+DCF!$B$97)^7.5+(DCF!H71*(1+A20)^6)*(18.5%+(D15-18.5%)*6/7)/(1+DCF!$B$97)^8.5+(DCF!H71*(1+A20)^7)*(18.5%+(D15-18.5%)*7/7)/(1+DCF!$B$97)^9.5+((DCF!H71*(1+A20)^7)*(18.5%+(D15-18.5%)*7/7)*(1+DCF!$B$98)/(DCF!$B$97-DCF!$B$98))/(1+DCF!$B$97)^9.5+DCF!$B$10-DCF!$B$11)/DCF!$B$9</f>
        <v/>
      </c>
      <c r="E20" s="21">
        <f>(DCF!F82/(1+DCF!$B$97)^0.5+DCF!G82/(1+DCF!$B$97)^1.5+DCF!H82/(1+DCF!$B$97)^2.5+(DCF!H71*(1+A20)^1)*(18.5%+(E15-18.5%)*1/7)/(1+DCF!$B$97)^3.5+(DCF!H71*(1+A20)^2)*(18.5%+(E15-18.5%)*2/7)/(1+DCF!$B$97)^4.5+(DCF!H71*(1+A20)^3)*(18.5%+(E15-18.5%)*3/7)/(1+DCF!$B$97)^5.5+(DCF!H71*(1+A20)^4)*(18.5%+(E15-18.5%)*4/7)/(1+DCF!$B$97)^6.5+(DCF!H71*(1+A20)^5)*(18.5%+(E15-18.5%)*5/7)/(1+DCF!$B$97)^7.5+(DCF!H71*(1+A20)^6)*(18.5%+(E15-18.5%)*6/7)/(1+DCF!$B$97)^8.5+(DCF!H71*(1+A20)^7)*(18.5%+(E15-18.5%)*7/7)/(1+DCF!$B$97)^9.5+((DCF!H71*(1+A20)^7)*(18.5%+(E15-18.5%)*7/7)*(1+DCF!$B$98)/(DCF!$B$97-DCF!$B$98))/(1+DCF!$B$97)^9.5+DCF!$B$10-DCF!$B$11)/DCF!$B$9</f>
        <v/>
      </c>
      <c r="F20" s="21">
        <f>(DCF!F82/(1+DCF!$B$97)^0.5+DCF!G82/(1+DCF!$B$97)^1.5+DCF!H82/(1+DCF!$B$97)^2.5+(DCF!H71*(1+A20)^1)*(18.5%+(F15-18.5%)*1/7)/(1+DCF!$B$97)^3.5+(DCF!H71*(1+A20)^2)*(18.5%+(F15-18.5%)*2/7)/(1+DCF!$B$97)^4.5+(DCF!H71*(1+A20)^3)*(18.5%+(F15-18.5%)*3/7)/(1+DCF!$B$97)^5.5+(DCF!H71*(1+A20)^4)*(18.5%+(F15-18.5%)*4/7)/(1+DCF!$B$97)^6.5+(DCF!H71*(1+A20)^5)*(18.5%+(F15-18.5%)*5/7)/(1+DCF!$B$97)^7.5+(DCF!H71*(1+A20)^6)*(18.5%+(F15-18.5%)*6/7)/(1+DCF!$B$97)^8.5+(DCF!H71*(1+A20)^7)*(18.5%+(F15-18.5%)*7/7)/(1+DCF!$B$97)^9.5+((DCF!H71*(1+A20)^7)*(18.5%+(F15-18.5%)*7/7)*(1+DCF!$B$98)/(DCF!$B$97-DCF!$B$98))/(1+DCF!$B$97)^9.5+DCF!$B$10-DCF!$B$11)/DCF!$B$9</f>
        <v/>
      </c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6" t="inlineStr">
        <is>
          <t>Beta vs Risk-Free Rate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inlineStr">
        <is>
          <t>Beta \ Risk-free</t>
        </is>
      </c>
      <c r="B25" s="14" t="n">
        <v>0.035</v>
      </c>
      <c r="C25" s="14" t="n">
        <v>0.0385</v>
      </c>
      <c r="D25" s="14" t="n">
        <v>0.042</v>
      </c>
      <c r="E25" s="14" t="n">
        <v>0.0455</v>
      </c>
      <c r="F25" s="14" t="n">
        <v>0.049</v>
      </c>
      <c r="G25" s="2" t="n"/>
      <c r="H25" s="2" t="n"/>
      <c r="I25" s="2" t="n"/>
      <c r="J25" s="2" t="n"/>
    </row>
    <row r="26">
      <c r="A26" s="27" t="n">
        <v>0.9</v>
      </c>
      <c r="B26" s="21">
        <f>(DCF!F82/(1+(B25+A26*0.05))^0.5+DCF!G82/(1+(B25+A26*0.05))^1.5+DCF!H82/(1+(B25+A26*0.05))^2.5+DCF!I82/(1+(B25+A26*0.05))^3.5+DCF!J82/(1+(B25+A26*0.05))^4.5+DCF!K82/(1+(B25+A26*0.05))^5.5+DCF!L82/(1+(B25+A26*0.05))^6.5+DCF!M82/(1+(B25+A26*0.05))^7.5+DCF!N82/(1+(B25+A26*0.05))^8.5+DCF!O82/(1+(B25+A26*0.05))^9.5+(DCF!O82*(1+DCF!$B$98)/((B25+A26*0.05)-DCF!$B$98))/(1+(B25+A26*0.05))^9.5+DCF!$B$10-DCF!$B$11)/DCF!$B$9</f>
        <v/>
      </c>
      <c r="C26" s="21">
        <f>(DCF!F82/(1+(C25+A26*0.05))^0.5+DCF!G82/(1+(C25+A26*0.05))^1.5+DCF!H82/(1+(C25+A26*0.05))^2.5+DCF!I82/(1+(C25+A26*0.05))^3.5+DCF!J82/(1+(C25+A26*0.05))^4.5+DCF!K82/(1+(C25+A26*0.05))^5.5+DCF!L82/(1+(C25+A26*0.05))^6.5+DCF!M82/(1+(C25+A26*0.05))^7.5+DCF!N82/(1+(C25+A26*0.05))^8.5+DCF!O82/(1+(C25+A26*0.05))^9.5+(DCF!O82*(1+DCF!$B$98)/((C25+A26*0.05)-DCF!$B$98))/(1+(C25+A26*0.05))^9.5+DCF!$B$10-DCF!$B$11)/DCF!$B$9</f>
        <v/>
      </c>
      <c r="D26" s="21">
        <f>(DCF!F82/(1+(D25+A26*0.05))^0.5+DCF!G82/(1+(D25+A26*0.05))^1.5+DCF!H82/(1+(D25+A26*0.05))^2.5+DCF!I82/(1+(D25+A26*0.05))^3.5+DCF!J82/(1+(D25+A26*0.05))^4.5+DCF!K82/(1+(D25+A26*0.05))^5.5+DCF!L82/(1+(D25+A26*0.05))^6.5+DCF!M82/(1+(D25+A26*0.05))^7.5+DCF!N82/(1+(D25+A26*0.05))^8.5+DCF!O82/(1+(D25+A26*0.05))^9.5+(DCF!O82*(1+DCF!$B$98)/((D25+A26*0.05)-DCF!$B$98))/(1+(D25+A26*0.05))^9.5+DCF!$B$10-DCF!$B$11)/DCF!$B$9</f>
        <v/>
      </c>
      <c r="E26" s="21">
        <f>(DCF!F82/(1+(E25+A26*0.05))^0.5+DCF!G82/(1+(E25+A26*0.05))^1.5+DCF!H82/(1+(E25+A26*0.05))^2.5+DCF!I82/(1+(E25+A26*0.05))^3.5+DCF!J82/(1+(E25+A26*0.05))^4.5+DCF!K82/(1+(E25+A26*0.05))^5.5+DCF!L82/(1+(E25+A26*0.05))^6.5+DCF!M82/(1+(E25+A26*0.05))^7.5+DCF!N82/(1+(E25+A26*0.05))^8.5+DCF!O82/(1+(E25+A26*0.05))^9.5+(DCF!O82*(1+DCF!$B$98)/((E25+A26*0.05)-DCF!$B$98))/(1+(E25+A26*0.05))^9.5+DCF!$B$10-DCF!$B$11)/DCF!$B$9</f>
        <v/>
      </c>
      <c r="F26" s="21">
        <f>(DCF!F82/(1+(F25+A26*0.05))^0.5+DCF!G82/(1+(F25+A26*0.05))^1.5+DCF!H82/(1+(F25+A26*0.05))^2.5+DCF!I82/(1+(F25+A26*0.05))^3.5+DCF!J82/(1+(F25+A26*0.05))^4.5+DCF!K82/(1+(F25+A26*0.05))^5.5+DCF!L82/(1+(F25+A26*0.05))^6.5+DCF!M82/(1+(F25+A26*0.05))^7.5+DCF!N82/(1+(F25+A26*0.05))^8.5+DCF!O82/(1+(F25+A26*0.05))^9.5+(DCF!O82*(1+DCF!$B$98)/((F25+A26*0.05)-DCF!$B$98))/(1+(F25+A26*0.05))^9.5+DCF!$B$10-DCF!$B$11)/DCF!$B$9</f>
        <v/>
      </c>
      <c r="G26" s="2" t="n"/>
      <c r="H26" s="2" t="n"/>
      <c r="I26" s="2" t="n"/>
      <c r="J26" s="2" t="n"/>
    </row>
    <row r="27">
      <c r="A27" s="27" t="n">
        <v>1</v>
      </c>
      <c r="B27" s="21">
        <f>(DCF!F82/(1+(B25+A27*0.05))^0.5+DCF!G82/(1+(B25+A27*0.05))^1.5+DCF!H82/(1+(B25+A27*0.05))^2.5+DCF!I82/(1+(B25+A27*0.05))^3.5+DCF!J82/(1+(B25+A27*0.05))^4.5+DCF!K82/(1+(B25+A27*0.05))^5.5+DCF!L82/(1+(B25+A27*0.05))^6.5+DCF!M82/(1+(B25+A27*0.05))^7.5+DCF!N82/(1+(B25+A27*0.05))^8.5+DCF!O82/(1+(B25+A27*0.05))^9.5+(DCF!O82*(1+DCF!$B$98)/((B25+A27*0.05)-DCF!$B$98))/(1+(B25+A27*0.05))^9.5+DCF!$B$10-DCF!$B$11)/DCF!$B$9</f>
        <v/>
      </c>
      <c r="C27" s="21">
        <f>(DCF!F82/(1+(C25+A27*0.05))^0.5+DCF!G82/(1+(C25+A27*0.05))^1.5+DCF!H82/(1+(C25+A27*0.05))^2.5+DCF!I82/(1+(C25+A27*0.05))^3.5+DCF!J82/(1+(C25+A27*0.05))^4.5+DCF!K82/(1+(C25+A27*0.05))^5.5+DCF!L82/(1+(C25+A27*0.05))^6.5+DCF!M82/(1+(C25+A27*0.05))^7.5+DCF!N82/(1+(C25+A27*0.05))^8.5+DCF!O82/(1+(C25+A27*0.05))^9.5+(DCF!O82*(1+DCF!$B$98)/((C25+A27*0.05)-DCF!$B$98))/(1+(C25+A27*0.05))^9.5+DCF!$B$10-DCF!$B$11)/DCF!$B$9</f>
        <v/>
      </c>
      <c r="D27" s="21">
        <f>(DCF!F82/(1+(D25+A27*0.05))^0.5+DCF!G82/(1+(D25+A27*0.05))^1.5+DCF!H82/(1+(D25+A27*0.05))^2.5+DCF!I82/(1+(D25+A27*0.05))^3.5+DCF!J82/(1+(D25+A27*0.05))^4.5+DCF!K82/(1+(D25+A27*0.05))^5.5+DCF!L82/(1+(D25+A27*0.05))^6.5+DCF!M82/(1+(D25+A27*0.05))^7.5+DCF!N82/(1+(D25+A27*0.05))^8.5+DCF!O82/(1+(D25+A27*0.05))^9.5+(DCF!O82*(1+DCF!$B$98)/((D25+A27*0.05)-DCF!$B$98))/(1+(D25+A27*0.05))^9.5+DCF!$B$10-DCF!$B$11)/DCF!$B$9</f>
        <v/>
      </c>
      <c r="E27" s="21">
        <f>(DCF!F82/(1+(E25+A27*0.05))^0.5+DCF!G82/(1+(E25+A27*0.05))^1.5+DCF!H82/(1+(E25+A27*0.05))^2.5+DCF!I82/(1+(E25+A27*0.05))^3.5+DCF!J82/(1+(E25+A27*0.05))^4.5+DCF!K82/(1+(E25+A27*0.05))^5.5+DCF!L82/(1+(E25+A27*0.05))^6.5+DCF!M82/(1+(E25+A27*0.05))^7.5+DCF!N82/(1+(E25+A27*0.05))^8.5+DCF!O82/(1+(E25+A27*0.05))^9.5+(DCF!O82*(1+DCF!$B$98)/((E25+A27*0.05)-DCF!$B$98))/(1+(E25+A27*0.05))^9.5+DCF!$B$10-DCF!$B$11)/DCF!$B$9</f>
        <v/>
      </c>
      <c r="F27" s="21">
        <f>(DCF!F82/(1+(F25+A27*0.05))^0.5+DCF!G82/(1+(F25+A27*0.05))^1.5+DCF!H82/(1+(F25+A27*0.05))^2.5+DCF!I82/(1+(F25+A27*0.05))^3.5+DCF!J82/(1+(F25+A27*0.05))^4.5+DCF!K82/(1+(F25+A27*0.05))^5.5+DCF!L82/(1+(F25+A27*0.05))^6.5+DCF!M82/(1+(F25+A27*0.05))^7.5+DCF!N82/(1+(F25+A27*0.05))^8.5+DCF!O82/(1+(F25+A27*0.05))^9.5+(DCF!O82*(1+DCF!$B$98)/((F25+A27*0.05)-DCF!$B$98))/(1+(F25+A27*0.05))^9.5+DCF!$B$10-DCF!$B$11)/DCF!$B$9</f>
        <v/>
      </c>
      <c r="G27" s="2" t="n"/>
      <c r="H27" s="2" t="n"/>
      <c r="I27" s="2" t="n"/>
      <c r="J27" s="2" t="n"/>
    </row>
    <row r="28">
      <c r="A28" s="27" t="n">
        <v>1.1</v>
      </c>
      <c r="B28" s="21">
        <f>(DCF!F82/(1+(B25+A28*0.05))^0.5+DCF!G82/(1+(B25+A28*0.05))^1.5+DCF!H82/(1+(B25+A28*0.05))^2.5+DCF!I82/(1+(B25+A28*0.05))^3.5+DCF!J82/(1+(B25+A28*0.05))^4.5+DCF!K82/(1+(B25+A28*0.05))^5.5+DCF!L82/(1+(B25+A28*0.05))^6.5+DCF!M82/(1+(B25+A28*0.05))^7.5+DCF!N82/(1+(B25+A28*0.05))^8.5+DCF!O82/(1+(B25+A28*0.05))^9.5+(DCF!O82*(1+DCF!$B$98)/((B25+A28*0.05)-DCF!$B$98))/(1+(B25+A28*0.05))^9.5+DCF!$B$10-DCF!$B$11)/DCF!$B$9</f>
        <v/>
      </c>
      <c r="C28" s="21">
        <f>(DCF!F82/(1+(C25+A28*0.05))^0.5+DCF!G82/(1+(C25+A28*0.05))^1.5+DCF!H82/(1+(C25+A28*0.05))^2.5+DCF!I82/(1+(C25+A28*0.05))^3.5+DCF!J82/(1+(C25+A28*0.05))^4.5+DCF!K82/(1+(C25+A28*0.05))^5.5+DCF!L82/(1+(C25+A28*0.05))^6.5+DCF!M82/(1+(C25+A28*0.05))^7.5+DCF!N82/(1+(C25+A28*0.05))^8.5+DCF!O82/(1+(C25+A28*0.05))^9.5+(DCF!O82*(1+DCF!$B$98)/((C25+A28*0.05)-DCF!$B$98))/(1+(C25+A28*0.05))^9.5+DCF!$B$10-DCF!$B$11)/DCF!$B$9</f>
        <v/>
      </c>
      <c r="D28" s="20">
        <f>(DCF!F82/(1+(D25+A28*0.05))^0.5+DCF!G82/(1+(D25+A28*0.05))^1.5+DCF!H82/(1+(D25+A28*0.05))^2.5+DCF!I82/(1+(D25+A28*0.05))^3.5+DCF!J82/(1+(D25+A28*0.05))^4.5+DCF!K82/(1+(D25+A28*0.05))^5.5+DCF!L82/(1+(D25+A28*0.05))^6.5+DCF!M82/(1+(D25+A28*0.05))^7.5+DCF!N82/(1+(D25+A28*0.05))^8.5+DCF!O82/(1+(D25+A28*0.05))^9.5+(DCF!O82*(1+DCF!$B$98)/((D25+A28*0.05)-DCF!$B$98))/(1+(D25+A28*0.05))^9.5+DCF!$B$10-DCF!$B$11)/DCF!$B$9</f>
        <v/>
      </c>
      <c r="E28" s="21">
        <f>(DCF!F82/(1+(E25+A28*0.05))^0.5+DCF!G82/(1+(E25+A28*0.05))^1.5+DCF!H82/(1+(E25+A28*0.05))^2.5+DCF!I82/(1+(E25+A28*0.05))^3.5+DCF!J82/(1+(E25+A28*0.05))^4.5+DCF!K82/(1+(E25+A28*0.05))^5.5+DCF!L82/(1+(E25+A28*0.05))^6.5+DCF!M82/(1+(E25+A28*0.05))^7.5+DCF!N82/(1+(E25+A28*0.05))^8.5+DCF!O82/(1+(E25+A28*0.05))^9.5+(DCF!O82*(1+DCF!$B$98)/((E25+A28*0.05)-DCF!$B$98))/(1+(E25+A28*0.05))^9.5+DCF!$B$10-DCF!$B$11)/DCF!$B$9</f>
        <v/>
      </c>
      <c r="F28" s="21">
        <f>(DCF!F82/(1+(F25+A28*0.05))^0.5+DCF!G82/(1+(F25+A28*0.05))^1.5+DCF!H82/(1+(F25+A28*0.05))^2.5+DCF!I82/(1+(F25+A28*0.05))^3.5+DCF!J82/(1+(F25+A28*0.05))^4.5+DCF!K82/(1+(F25+A28*0.05))^5.5+DCF!L82/(1+(F25+A28*0.05))^6.5+DCF!M82/(1+(F25+A28*0.05))^7.5+DCF!N82/(1+(F25+A28*0.05))^8.5+DCF!O82/(1+(F25+A28*0.05))^9.5+(DCF!O82*(1+DCF!$B$98)/((F25+A28*0.05)-DCF!$B$98))/(1+(F25+A28*0.05))^9.5+DCF!$B$10-DCF!$B$11)/DCF!$B$9</f>
        <v/>
      </c>
      <c r="G28" s="2" t="n"/>
      <c r="H28" s="2" t="n"/>
      <c r="I28" s="2" t="n"/>
      <c r="J28" s="2" t="n"/>
    </row>
    <row r="29">
      <c r="A29" s="27" t="n">
        <v>1.2</v>
      </c>
      <c r="B29" s="21">
        <f>(DCF!F82/(1+(B25+A29*0.05))^0.5+DCF!G82/(1+(B25+A29*0.05))^1.5+DCF!H82/(1+(B25+A29*0.05))^2.5+DCF!I82/(1+(B25+A29*0.05))^3.5+DCF!J82/(1+(B25+A29*0.05))^4.5+DCF!K82/(1+(B25+A29*0.05))^5.5+DCF!L82/(1+(B25+A29*0.05))^6.5+DCF!M82/(1+(B25+A29*0.05))^7.5+DCF!N82/(1+(B25+A29*0.05))^8.5+DCF!O82/(1+(B25+A29*0.05))^9.5+(DCF!O82*(1+DCF!$B$98)/((B25+A29*0.05)-DCF!$B$98))/(1+(B25+A29*0.05))^9.5+DCF!$B$10-DCF!$B$11)/DCF!$B$9</f>
        <v/>
      </c>
      <c r="C29" s="21">
        <f>(DCF!F82/(1+(C25+A29*0.05))^0.5+DCF!G82/(1+(C25+A29*0.05))^1.5+DCF!H82/(1+(C25+A29*0.05))^2.5+DCF!I82/(1+(C25+A29*0.05))^3.5+DCF!J82/(1+(C25+A29*0.05))^4.5+DCF!K82/(1+(C25+A29*0.05))^5.5+DCF!L82/(1+(C25+A29*0.05))^6.5+DCF!M82/(1+(C25+A29*0.05))^7.5+DCF!N82/(1+(C25+A29*0.05))^8.5+DCF!O82/(1+(C25+A29*0.05))^9.5+(DCF!O82*(1+DCF!$B$98)/((C25+A29*0.05)-DCF!$B$98))/(1+(C25+A29*0.05))^9.5+DCF!$B$10-DCF!$B$11)/DCF!$B$9</f>
        <v/>
      </c>
      <c r="D29" s="21">
        <f>(DCF!F82/(1+(D25+A29*0.05))^0.5+DCF!G82/(1+(D25+A29*0.05))^1.5+DCF!H82/(1+(D25+A29*0.05))^2.5+DCF!I82/(1+(D25+A29*0.05))^3.5+DCF!J82/(1+(D25+A29*0.05))^4.5+DCF!K82/(1+(D25+A29*0.05))^5.5+DCF!L82/(1+(D25+A29*0.05))^6.5+DCF!M82/(1+(D25+A29*0.05))^7.5+DCF!N82/(1+(D25+A29*0.05))^8.5+DCF!O82/(1+(D25+A29*0.05))^9.5+(DCF!O82*(1+DCF!$B$98)/((D25+A29*0.05)-DCF!$B$98))/(1+(D25+A29*0.05))^9.5+DCF!$B$10-DCF!$B$11)/DCF!$B$9</f>
        <v/>
      </c>
      <c r="E29" s="21">
        <f>(DCF!F82/(1+(E25+A29*0.05))^0.5+DCF!G82/(1+(E25+A29*0.05))^1.5+DCF!H82/(1+(E25+A29*0.05))^2.5+DCF!I82/(1+(E25+A29*0.05))^3.5+DCF!J82/(1+(E25+A29*0.05))^4.5+DCF!K82/(1+(E25+A29*0.05))^5.5+DCF!L82/(1+(E25+A29*0.05))^6.5+DCF!M82/(1+(E25+A29*0.05))^7.5+DCF!N82/(1+(E25+A29*0.05))^8.5+DCF!O82/(1+(E25+A29*0.05))^9.5+(DCF!O82*(1+DCF!$B$98)/((E25+A29*0.05)-DCF!$B$98))/(1+(E25+A29*0.05))^9.5+DCF!$B$10-DCF!$B$11)/DCF!$B$9</f>
        <v/>
      </c>
      <c r="F29" s="21">
        <f>(DCF!F82/(1+(F25+A29*0.05))^0.5+DCF!G82/(1+(F25+A29*0.05))^1.5+DCF!H82/(1+(F25+A29*0.05))^2.5+DCF!I82/(1+(F25+A29*0.05))^3.5+DCF!J82/(1+(F25+A29*0.05))^4.5+DCF!K82/(1+(F25+A29*0.05))^5.5+DCF!L82/(1+(F25+A29*0.05))^6.5+DCF!M82/(1+(F25+A29*0.05))^7.5+DCF!N82/(1+(F25+A29*0.05))^8.5+DCF!O82/(1+(F25+A29*0.05))^9.5+(DCF!O82*(1+DCF!$B$98)/((F25+A29*0.05)-DCF!$B$98))/(1+(F25+A29*0.05))^9.5+DCF!$B$10-DCF!$B$11)/DCF!$B$9</f>
        <v/>
      </c>
      <c r="G29" s="2" t="n"/>
      <c r="H29" s="2" t="n"/>
      <c r="I29" s="2" t="n"/>
      <c r="J29" s="2" t="n"/>
    </row>
    <row r="30">
      <c r="A30" s="27" t="n">
        <v>1.3</v>
      </c>
      <c r="B30" s="21">
        <f>(DCF!F82/(1+(B25+A30*0.05))^0.5+DCF!G82/(1+(B25+A30*0.05))^1.5+DCF!H82/(1+(B25+A30*0.05))^2.5+DCF!I82/(1+(B25+A30*0.05))^3.5+DCF!J82/(1+(B25+A30*0.05))^4.5+DCF!K82/(1+(B25+A30*0.05))^5.5+DCF!L82/(1+(B25+A30*0.05))^6.5+DCF!M82/(1+(B25+A30*0.05))^7.5+DCF!N82/(1+(B25+A30*0.05))^8.5+DCF!O82/(1+(B25+A30*0.05))^9.5+(DCF!O82*(1+DCF!$B$98)/((B25+A30*0.05)-DCF!$B$98))/(1+(B25+A30*0.05))^9.5+DCF!$B$10-DCF!$B$11)/DCF!$B$9</f>
        <v/>
      </c>
      <c r="C30" s="21">
        <f>(DCF!F82/(1+(C25+A30*0.05))^0.5+DCF!G82/(1+(C25+A30*0.05))^1.5+DCF!H82/(1+(C25+A30*0.05))^2.5+DCF!I82/(1+(C25+A30*0.05))^3.5+DCF!J82/(1+(C25+A30*0.05))^4.5+DCF!K82/(1+(C25+A30*0.05))^5.5+DCF!L82/(1+(C25+A30*0.05))^6.5+DCF!M82/(1+(C25+A30*0.05))^7.5+DCF!N82/(1+(C25+A30*0.05))^8.5+DCF!O82/(1+(C25+A30*0.05))^9.5+(DCF!O82*(1+DCF!$B$98)/((C25+A30*0.05)-DCF!$B$98))/(1+(C25+A30*0.05))^9.5+DCF!$B$10-DCF!$B$11)/DCF!$B$9</f>
        <v/>
      </c>
      <c r="D30" s="21">
        <f>(DCF!F82/(1+(D25+A30*0.05))^0.5+DCF!G82/(1+(D25+A30*0.05))^1.5+DCF!H82/(1+(D25+A30*0.05))^2.5+DCF!I82/(1+(D25+A30*0.05))^3.5+DCF!J82/(1+(D25+A30*0.05))^4.5+DCF!K82/(1+(D25+A30*0.05))^5.5+DCF!L82/(1+(D25+A30*0.05))^6.5+DCF!M82/(1+(D25+A30*0.05))^7.5+DCF!N82/(1+(D25+A30*0.05))^8.5+DCF!O82/(1+(D25+A30*0.05))^9.5+(DCF!O82*(1+DCF!$B$98)/((D25+A30*0.05)-DCF!$B$98))/(1+(D25+A30*0.05))^9.5+DCF!$B$10-DCF!$B$11)/DCF!$B$9</f>
        <v/>
      </c>
      <c r="E30" s="21">
        <f>(DCF!F82/(1+(E25+A30*0.05))^0.5+DCF!G82/(1+(E25+A30*0.05))^1.5+DCF!H82/(1+(E25+A30*0.05))^2.5+DCF!I82/(1+(E25+A30*0.05))^3.5+DCF!J82/(1+(E25+A30*0.05))^4.5+DCF!K82/(1+(E25+A30*0.05))^5.5+DCF!L82/(1+(E25+A30*0.05))^6.5+DCF!M82/(1+(E25+A30*0.05))^7.5+DCF!N82/(1+(E25+A30*0.05))^8.5+DCF!O82/(1+(E25+A30*0.05))^9.5+(DCF!O82*(1+DCF!$B$98)/((E25+A30*0.05)-DCF!$B$98))/(1+(E25+A30*0.05))^9.5+DCF!$B$10-DCF!$B$11)/DCF!$B$9</f>
        <v/>
      </c>
      <c r="F30" s="21">
        <f>(DCF!F82/(1+(F25+A30*0.05))^0.5+DCF!G82/(1+(F25+A30*0.05))^1.5+DCF!H82/(1+(F25+A30*0.05))^2.5+DCF!I82/(1+(F25+A30*0.05))^3.5+DCF!J82/(1+(F25+A30*0.05))^4.5+DCF!K82/(1+(F25+A30*0.05))^5.5+DCF!L82/(1+(F25+A30*0.05))^6.5+DCF!M82/(1+(F25+A30*0.05))^7.5+DCF!N82/(1+(F25+A30*0.05))^8.5+DCF!O82/(1+(F25+A30*0.05))^9.5+(DCF!O82*(1+DCF!$B$98)/((F25+A30*0.05)-DCF!$B$98))/(1+(F25+A30*0.05))^9.5+DCF!$B$10-DCF!$B$11)/DCF!$B$9</f>
        <v/>
      </c>
      <c r="G30" s="2" t="n"/>
      <c r="H30" s="2" t="n"/>
      <c r="I30" s="2" t="n"/>
      <c r="J30" s="2" t="n"/>
    </row>
  </sheetData>
  <mergeCells count="4">
    <mergeCell ref="A1:J1"/>
    <mergeCell ref="A14:G14"/>
    <mergeCell ref="A24:G24"/>
    <mergeCell ref="A4:G4"/>
  </mergeCells>
  <conditionalFormatting sqref="B6:F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F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Comparable Companies and Multiples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Company</t>
        </is>
      </c>
      <c r="B3" s="12" t="inlineStr">
        <is>
          <t>Ticker</t>
        </is>
      </c>
      <c r="C3" s="12" t="inlineStr">
        <is>
          <t>Category</t>
        </is>
      </c>
      <c r="D3" s="12" t="inlineStr">
        <is>
          <t>EV/Sales NTM</t>
        </is>
      </c>
      <c r="E3" s="12" t="inlineStr">
        <is>
          <t>EV/EBITDA</t>
        </is>
      </c>
      <c r="F3" s="12" t="inlineStr">
        <is>
          <t>Gross margin</t>
        </is>
      </c>
      <c r="G3" s="12" t="inlineStr">
        <is>
          <t>Notes</t>
        </is>
      </c>
      <c r="H3" s="2" t="n"/>
    </row>
    <row r="4">
      <c r="A4" s="3" t="inlineStr">
        <is>
          <t>Shopify</t>
        </is>
      </c>
      <c r="B4" s="2" t="inlineStr">
        <is>
          <t>SHOP</t>
        </is>
      </c>
      <c r="C4" s="2" t="inlineStr">
        <is>
          <t>Commerce infrastructure</t>
        </is>
      </c>
      <c r="D4" s="28" t="n">
        <v>8.300000000000001</v>
      </c>
      <c r="E4" s="28" t="n">
        <v>44.4</v>
      </c>
      <c r="F4" s="29" t="n">
        <v>0.48</v>
      </c>
      <c r="G4" s="2" t="inlineStr">
        <is>
          <t>Koyfin current</t>
        </is>
      </c>
      <c r="H4" s="2" t="n"/>
    </row>
    <row r="5">
      <c r="A5" s="3" t="inlineStr">
        <is>
          <t>Wix</t>
        </is>
      </c>
      <c r="B5" s="2" t="inlineStr">
        <is>
          <t>WIX</t>
        </is>
      </c>
      <c r="C5" s="2" t="inlineStr">
        <is>
          <t>SMB web/commerce</t>
        </is>
      </c>
      <c r="D5" s="28" t="n">
        <v>2.4</v>
      </c>
      <c r="E5" s="28" t="n">
        <v>13.4</v>
      </c>
      <c r="F5" s="29" t="n">
        <v>0.67</v>
      </c>
      <c r="G5" s="2" t="inlineStr">
        <is>
          <t>Public comp</t>
        </is>
      </c>
      <c r="H5" s="2" t="n"/>
    </row>
    <row r="6">
      <c r="A6" s="3" t="inlineStr">
        <is>
          <t>BigCommerce</t>
        </is>
      </c>
      <c r="B6" s="2" t="inlineStr">
        <is>
          <t>BIGC</t>
        </is>
      </c>
      <c r="C6" s="2" t="inlineStr">
        <is>
          <t>Commerce software</t>
        </is>
      </c>
      <c r="D6" s="28" t="n">
        <v>2.5</v>
      </c>
      <c r="E6" s="2" t="n"/>
      <c r="F6" s="29" t="n">
        <v>0.78</v>
      </c>
      <c r="G6" s="2" t="inlineStr">
        <is>
          <t>Smaller commerce SaaS</t>
        </is>
      </c>
      <c r="H6" s="2" t="n"/>
    </row>
    <row r="7">
      <c r="A7" s="3" t="inlineStr">
        <is>
          <t>GoDaddy</t>
        </is>
      </c>
      <c r="B7" s="2" t="inlineStr">
        <is>
          <t>GDDY</t>
        </is>
      </c>
      <c r="C7" s="2" t="inlineStr">
        <is>
          <t>Domains/commerce</t>
        </is>
      </c>
      <c r="D7" s="28" t="n">
        <v>4.5</v>
      </c>
      <c r="E7" s="28" t="n">
        <v>15</v>
      </c>
      <c r="F7" s="29" t="n">
        <v>0.63</v>
      </c>
      <c r="G7" s="2" t="inlineStr">
        <is>
          <t>Broader SMB platform</t>
        </is>
      </c>
      <c r="H7" s="2" t="n"/>
    </row>
    <row r="8">
      <c r="A8" s="3" t="inlineStr">
        <is>
          <t>MercadoLibre</t>
        </is>
      </c>
      <c r="B8" s="2" t="inlineStr">
        <is>
          <t>MELI</t>
        </is>
      </c>
      <c r="C8" s="2" t="inlineStr">
        <is>
          <t>Marketplace/fintech</t>
        </is>
      </c>
      <c r="D8" s="28" t="n">
        <v>3.5</v>
      </c>
      <c r="E8" s="28" t="n">
        <v>20</v>
      </c>
      <c r="F8" s="29" t="n">
        <v>0.5</v>
      </c>
      <c r="G8" s="2" t="inlineStr">
        <is>
          <t>Commerce ecosystem</t>
        </is>
      </c>
      <c r="H8" s="2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8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Thesis Tracker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Pillar</t>
        </is>
      </c>
      <c r="B3" s="12" t="inlineStr">
        <is>
          <t>Evidence</t>
        </is>
      </c>
      <c r="C3" s="12" t="inlineStr">
        <is>
          <t>KPI</t>
        </is>
      </c>
      <c r="D3" s="12" t="inlineStr">
        <is>
          <t>Current</t>
        </is>
      </c>
      <c r="E3" s="12" t="inlineStr">
        <is>
          <t>Bull trigger</t>
        </is>
      </c>
      <c r="F3" s="12" t="inlineStr">
        <is>
          <t>Bear trigger</t>
        </is>
      </c>
      <c r="G3" s="12" t="inlineStr">
        <is>
          <t>Model impact</t>
        </is>
      </c>
      <c r="H3" s="2" t="n"/>
    </row>
    <row r="4">
      <c r="A4" s="3" t="inlineStr">
        <is>
          <t>Commerce operating system</t>
        </is>
      </c>
      <c r="B4" s="2" t="inlineStr">
        <is>
          <t>$378B FY2025 GMV; $100.7B Q1 GMV</t>
        </is>
      </c>
      <c r="C4" s="2" t="inlineStr">
        <is>
          <t>GMV growth</t>
        </is>
      </c>
      <c r="D4" s="2" t="inlineStr">
        <is>
          <t>Q1 +35%</t>
        </is>
      </c>
      <c r="E4" s="2" t="inlineStr">
        <is>
          <t>&gt;25% sustained</t>
        </is>
      </c>
      <c r="F4" s="2" t="inlineStr">
        <is>
          <t>&lt;18%</t>
        </is>
      </c>
      <c r="G4" s="2" t="inlineStr">
        <is>
          <t>Revenue growth</t>
        </is>
      </c>
      <c r="H4" s="2" t="n"/>
    </row>
    <row r="5">
      <c r="A5" s="3" t="inlineStr">
        <is>
          <t>Merchant Solutions flywheel</t>
        </is>
      </c>
      <c r="B5" s="2" t="inlineStr">
        <is>
          <t>GPV penetration 67%; Merchant Solutions +39%</t>
        </is>
      </c>
      <c r="C5" s="2" t="inlineStr">
        <is>
          <t>GPV penetration</t>
        </is>
      </c>
      <c r="D5" s="2" t="inlineStr">
        <is>
          <t>67%</t>
        </is>
      </c>
      <c r="E5" s="2" t="inlineStr">
        <is>
          <t>&gt;75%</t>
        </is>
      </c>
      <c r="F5" s="2" t="inlineStr">
        <is>
          <t>Stalls &lt;67%</t>
        </is>
      </c>
      <c r="G5" s="2" t="inlineStr">
        <is>
          <t>Take rate / gross margin</t>
        </is>
      </c>
      <c r="H5" s="2" t="n"/>
    </row>
    <row r="6">
      <c r="A6" s="3" t="inlineStr">
        <is>
          <t>Upmarket runway</t>
        </is>
      </c>
      <c r="B6" s="2" t="inlineStr">
        <is>
          <t>Plus, B2B, enterprise wins</t>
        </is>
      </c>
      <c r="C6" s="2" t="inlineStr">
        <is>
          <t>Plus MRR / B2B GMV</t>
        </is>
      </c>
      <c r="D6" s="2" t="inlineStr">
        <is>
          <t>Plus ~34% MRR</t>
        </is>
      </c>
      <c r="E6" s="2" t="inlineStr">
        <is>
          <t>B2B &gt;50%</t>
        </is>
      </c>
      <c r="F6" s="2" t="inlineStr">
        <is>
          <t>Enterprise stalls</t>
        </is>
      </c>
      <c r="G6" s="2" t="inlineStr">
        <is>
          <t>Growth duration</t>
        </is>
      </c>
      <c r="H6" s="2" t="n"/>
    </row>
    <row r="7">
      <c r="A7" s="3" t="inlineStr">
        <is>
          <t>FCF durability</t>
        </is>
      </c>
      <c r="B7" s="2" t="inlineStr">
        <is>
          <t>FY2025 FCF $2.0B</t>
        </is>
      </c>
      <c r="C7" s="2" t="inlineStr">
        <is>
          <t>FCF margin</t>
        </is>
      </c>
      <c r="D7" s="2" t="inlineStr">
        <is>
          <t>15-17%</t>
        </is>
      </c>
      <c r="E7" s="2" t="inlineStr">
        <is>
          <t>&gt;20%</t>
        </is>
      </c>
      <c r="F7" s="2" t="inlineStr">
        <is>
          <t>&lt;12%</t>
        </is>
      </c>
      <c r="G7" s="2" t="inlineStr">
        <is>
          <t>Terminal FCF margin</t>
        </is>
      </c>
      <c r="H7" s="2" t="n"/>
    </row>
    <row r="8">
      <c r="A8" s="3" t="inlineStr">
        <is>
          <t>AI option</t>
        </is>
      </c>
      <c r="B8" s="2" t="inlineStr">
        <is>
          <t>UCP, Sidekick, Catalog</t>
        </is>
      </c>
      <c r="C8" s="2" t="inlineStr">
        <is>
          <t>AI-referred GMV</t>
        </is>
      </c>
      <c r="D8" s="2" t="inlineStr">
        <is>
          <t>Early</t>
        </is>
      </c>
      <c r="E8" s="2" t="inlineStr">
        <is>
          <t>Disclosed material GMV</t>
        </is>
      </c>
      <c r="F8" s="2" t="inlineStr">
        <is>
          <t>Bypass risk</t>
        </is>
      </c>
      <c r="G8" s="2" t="inlineStr">
        <is>
          <t>Bull scenario</t>
        </is>
      </c>
      <c r="H8" s="2" t="n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>
      <c r="A1" s="1" t="inlineStr">
        <is>
          <t>DCF Assumptions Register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Assumption</t>
        </is>
      </c>
      <c r="B3" s="12" t="inlineStr">
        <is>
          <t>Base</t>
        </is>
      </c>
      <c r="C3" s="12" t="inlineStr">
        <is>
          <t>Bear</t>
        </is>
      </c>
      <c r="D3" s="12" t="inlineStr">
        <is>
          <t>Bull</t>
        </is>
      </c>
      <c r="E3" s="12" t="inlineStr">
        <is>
          <t>Rationale</t>
        </is>
      </c>
      <c r="F3" s="2" t="n"/>
      <c r="G3" s="2" t="n"/>
      <c r="H3" s="2" t="n"/>
    </row>
    <row r="4">
      <c r="A4" s="3" t="inlineStr">
        <is>
          <t>WACC</t>
        </is>
      </c>
      <c r="B4" s="2" t="inlineStr">
        <is>
          <t>9.5%</t>
        </is>
      </c>
      <c r="C4" s="2" t="inlineStr">
        <is>
          <t>10.5%</t>
        </is>
      </c>
      <c r="D4" s="2" t="inlineStr">
        <is>
          <t>8.5%</t>
        </is>
      </c>
      <c r="E4" s="2" t="inlineStr">
        <is>
          <t>Adjusted beta / CAPM; net cash capital structure</t>
        </is>
      </c>
      <c r="F4" s="2" t="n"/>
      <c r="G4" s="2" t="n"/>
      <c r="H4" s="2" t="n"/>
    </row>
    <row r="5">
      <c r="A5" s="3" t="inlineStr">
        <is>
          <t>Terminal growth</t>
        </is>
      </c>
      <c r="B5" s="2" t="inlineStr">
        <is>
          <t>3.5%</t>
        </is>
      </c>
      <c r="C5" s="2" t="inlineStr">
        <is>
          <t>2.5%</t>
        </is>
      </c>
      <c r="D5" s="2" t="inlineStr">
        <is>
          <t>4.5%</t>
        </is>
      </c>
      <c r="E5" s="2" t="inlineStr">
        <is>
          <t>Global ecommerce + inflation; sensitivity key</t>
        </is>
      </c>
      <c r="F5" s="2" t="n"/>
      <c r="G5" s="2" t="n"/>
      <c r="H5" s="2" t="n"/>
    </row>
    <row r="6">
      <c r="A6" s="3" t="inlineStr">
        <is>
          <t>Terminal FCF margin</t>
        </is>
      </c>
      <c r="B6" s="2" t="inlineStr">
        <is>
          <t>22.0%</t>
        </is>
      </c>
      <c r="C6" s="2" t="inlineStr">
        <is>
          <t>18.0%</t>
        </is>
      </c>
      <c r="D6" s="2" t="inlineStr">
        <is>
          <t>26.5%</t>
        </is>
      </c>
      <c r="E6" s="2" t="inlineStr">
        <is>
          <t>Operating leverage vs Merchant Solutions mix pressure</t>
        </is>
      </c>
      <c r="F6" s="2" t="n"/>
      <c r="G6" s="2" t="n"/>
      <c r="H6" s="2" t="n"/>
    </row>
    <row r="7">
      <c r="A7" s="3" t="inlineStr">
        <is>
          <t>FY2026 revenue</t>
        </is>
      </c>
      <c r="B7" s="2" t="inlineStr">
        <is>
          <t>$14.8B</t>
        </is>
      </c>
      <c r="C7" s="2" t="inlineStr">
        <is>
          <t>$14.3B</t>
        </is>
      </c>
      <c r="D7" s="2" t="inlineStr">
        <is>
          <t>$15.2B</t>
        </is>
      </c>
      <c r="E7" s="2" t="inlineStr">
        <is>
          <t>Koyfin consensus anchored</t>
        </is>
      </c>
      <c r="F7" s="2" t="n"/>
      <c r="G7" s="2" t="n"/>
      <c r="H7" s="2" t="n"/>
    </row>
    <row r="8">
      <c r="A8" s="3" t="inlineStr">
        <is>
          <t>Gross margin</t>
        </is>
      </c>
      <c r="B8" s="2" t="inlineStr">
        <is>
          <t>48.5% near-term</t>
        </is>
      </c>
      <c r="C8" s="2" t="inlineStr">
        <is>
          <t>47%</t>
        </is>
      </c>
      <c r="D8" s="2" t="inlineStr">
        <is>
          <t>49.5%</t>
        </is>
      </c>
      <c r="E8" s="2" t="inlineStr">
        <is>
          <t>Subscription vs Merchant mix</t>
        </is>
      </c>
      <c r="F8" s="2" t="n"/>
      <c r="G8" s="2" t="n"/>
      <c r="H8" s="2" t="n"/>
    </row>
    <row r="9">
      <c r="A9" s="3" t="inlineStr">
        <is>
          <t>SBC treatment</t>
        </is>
      </c>
      <c r="B9" s="2" t="inlineStr">
        <is>
          <t>Economic cost via dilution/buyback</t>
        </is>
      </c>
      <c r="C9" s="2" t="inlineStr">
        <is>
          <t>Higher dilution</t>
        </is>
      </c>
      <c r="D9" s="2" t="inlineStr">
        <is>
          <t>Buyback offsets</t>
        </is>
      </c>
      <c r="E9" s="2" t="inlineStr">
        <is>
          <t>Track share count</t>
        </is>
      </c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0" customWidth="1" min="2" max="2"/>
    <col width="15" customWidth="1" min="3" max="3"/>
  </cols>
  <sheetData>
    <row r="1">
      <c r="A1" s="1" t="inlineStr">
        <is>
          <t>Model Checks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1" t="inlineStr">
        <is>
          <t>Check</t>
        </is>
      </c>
      <c r="B3" s="12" t="inlineStr">
        <is>
          <t>Formula</t>
        </is>
      </c>
      <c r="C3" s="12" t="inlineStr">
        <is>
          <t>Status</t>
        </is>
      </c>
      <c r="D3" s="2" t="n"/>
      <c r="E3" s="2" t="n"/>
      <c r="F3" s="2" t="n"/>
      <c r="G3" s="2" t="n"/>
      <c r="H3" s="2" t="n"/>
    </row>
    <row r="4">
      <c r="A4" s="3" t="inlineStr">
        <is>
          <t>Terminal growth &lt; WACC</t>
        </is>
      </c>
      <c r="B4" s="5">
        <f>DCF!B98&lt;DCF!B97</f>
        <v/>
      </c>
      <c r="C4" s="5">
        <f>IF(B4,"OK","CHECK")</f>
        <v/>
      </c>
      <c r="D4" s="2" t="n"/>
      <c r="E4" s="2" t="n"/>
      <c r="F4" s="2" t="n"/>
      <c r="G4" s="2" t="n"/>
      <c r="H4" s="2" t="n"/>
    </row>
    <row r="5">
      <c r="A5" s="3" t="inlineStr">
        <is>
          <t>DCF center sensitivity ties to DCF output</t>
        </is>
      </c>
      <c r="B5" s="5">
        <f>ABS(Sensitivity!D8-DCF!B107)&lt;1</f>
        <v/>
      </c>
      <c r="C5" s="5">
        <f>IF(B5,"OK","CHECK")</f>
        <v/>
      </c>
      <c r="D5" s="2" t="n"/>
      <c r="E5" s="2" t="n"/>
      <c r="F5" s="2" t="n"/>
      <c r="G5" s="2" t="n"/>
      <c r="H5" s="2" t="n"/>
    </row>
    <row r="6">
      <c r="A6" s="3" t="inlineStr">
        <is>
          <t>Equity bridge positive</t>
        </is>
      </c>
      <c r="B6" s="5">
        <f>DCF!B105&gt;0</f>
        <v/>
      </c>
      <c r="C6" s="5">
        <f>IF(B6,"OK","CHECK")</f>
        <v/>
      </c>
      <c r="D6" s="2" t="n"/>
      <c r="E6" s="2" t="n"/>
      <c r="F6" s="2" t="n"/>
      <c r="G6" s="2" t="n"/>
      <c r="H6" s="2" t="n"/>
    </row>
    <row r="7">
      <c r="A7" s="3" t="inlineStr">
        <is>
          <t>Terminal value share of EV reasonable</t>
        </is>
      </c>
      <c r="B7" s="5">
        <f>DCF!B101/DCF!B102&lt;0.8</f>
        <v/>
      </c>
      <c r="C7" s="5">
        <f>IF(B7,"OK","CHECK")</f>
        <v/>
      </c>
      <c r="D7" s="2" t="n"/>
      <c r="E7" s="2" t="n"/>
      <c r="F7" s="2" t="n"/>
      <c r="G7" s="2" t="n"/>
      <c r="H7" s="2" t="n"/>
    </row>
    <row r="8">
      <c r="A8" s="3" t="inlineStr">
        <is>
          <t>Projected FCF positive</t>
        </is>
      </c>
      <c r="B8" s="5">
        <f>MIN(DCF!F82:O82)&gt;0</f>
        <v/>
      </c>
      <c r="C8" s="5">
        <f>IF(B8,"OK","CHECK")</f>
        <v/>
      </c>
      <c r="D8" s="2" t="n"/>
      <c r="E8" s="2" t="n"/>
      <c r="F8" s="2" t="n"/>
      <c r="G8" s="2" t="n"/>
      <c r="H8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2026-05-23T08:20:19Z</dcterms:created>
  <dcterms:modified xsi:type="dcterms:W3CDTF">2026-05-23T08:20:19Z</dcterms:modified>
</cp:coreProperties>
</file>