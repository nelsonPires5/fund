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Comps" sheetId="5" state="visible" r:id="rId5"/>
    <sheet xmlns:r="http://schemas.openxmlformats.org/officeDocument/2006/relationships" name="Thesis Tracker" sheetId="6" state="visible" r:id="rId6"/>
    <sheet xmlns:r="http://schemas.openxmlformats.org/officeDocument/2006/relationships" name="DCF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.00"/>
    <numFmt numFmtId="167" formatCode="0.0x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9"/>
    </font>
    <font>
      <name val="Calibri"/>
      <b val="1"/>
      <color rgb="00FFFFFF"/>
      <sz val="22"/>
    </font>
    <font>
      <name val="Calibri"/>
      <b val="1"/>
      <color rgb="001F3864"/>
      <sz val="16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6600"/>
      <sz val="11"/>
    </font>
    <font>
      <name val="Calibri"/>
      <b val="1"/>
      <color rgb="00FF9900"/>
      <sz val="11"/>
    </font>
    <font>
      <name val="Calibri"/>
      <b val="1"/>
      <color rgb="00595959"/>
      <sz val="11"/>
    </font>
    <font>
      <name val="Calibri"/>
      <b val="1"/>
      <color rgb="002E5DA5"/>
      <sz val="11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008000"/>
      <sz val="10"/>
    </font>
    <font>
      <name val="Calibri"/>
      <b val="1"/>
      <color rgb="00375623"/>
      <sz val="11"/>
    </font>
    <font>
      <name val="Calibri"/>
      <b val="1"/>
      <color rgb="00375623"/>
      <sz val="12"/>
    </font>
    <font>
      <name val="Calibri"/>
      <color rgb="00375623"/>
      <sz val="10"/>
    </font>
    <font>
      <name val="Calibri"/>
      <b val="1"/>
      <color rgb="007F6000"/>
      <sz val="11"/>
    </font>
    <font>
      <name val="Calibri"/>
      <b val="1"/>
      <color rgb="007F6000"/>
      <sz val="12"/>
    </font>
    <font>
      <name val="Calibri"/>
      <color rgb="007F6000"/>
      <sz val="10"/>
    </font>
    <font>
      <name val="Calibri"/>
      <b val="1"/>
      <color rgb="009C0006"/>
      <sz val="11"/>
    </font>
    <font>
      <name val="Calibri"/>
      <b val="1"/>
      <color rgb="009C0006"/>
      <sz val="12"/>
    </font>
    <font>
      <name val="Calibri"/>
      <color rgb="009C0006"/>
      <sz val="10"/>
    </font>
    <font>
      <name val="Calibri"/>
      <color rgb="00375623"/>
      <sz val="9"/>
    </font>
    <font>
      <name val="Calibri"/>
      <color rgb="009C0006"/>
      <sz val="9"/>
    </font>
    <font>
      <name val="Calibri"/>
      <color rgb="00FF6600"/>
      <sz val="10"/>
    </font>
    <font>
      <name val="Calibri"/>
      <b val="1"/>
      <color rgb="00C00000"/>
      <sz val="10"/>
    </font>
    <font>
      <name val="Calibri"/>
      <color rgb="002E5DA5"/>
      <sz val="10"/>
    </font>
    <font>
      <name val="Calibri"/>
      <b val="1"/>
      <color rgb="00375623"/>
      <sz val="10"/>
    </font>
    <font>
      <name val="Calibri"/>
      <color rgb="002E5DA5"/>
      <sz val="9"/>
    </font>
    <font>
      <name val="Calibri"/>
      <b val="1"/>
      <color rgb="00375623"/>
      <sz val="9"/>
    </font>
    <font>
      <name val="Calibri"/>
      <b val="1"/>
      <color rgb="002E5DA5"/>
      <sz val="9"/>
    </font>
    <font>
      <name val="Calibri"/>
      <b val="1"/>
      <color rgb="00000000"/>
      <sz val="9"/>
    </font>
    <font>
      <name val="Calibri"/>
      <b val="1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C00000"/>
      </patternFill>
    </fill>
    <fill>
      <patternFill patternType="solid">
        <fgColor rgb="00F2F7FB"/>
      </patternFill>
    </fill>
    <fill>
      <patternFill patternType="solid">
        <fgColor rgb="00D6E4F7"/>
      </patternFill>
    </fill>
    <fill>
      <patternFill patternType="solid">
        <fgColor rgb="002E5DA5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CE0"/>
      </patternFill>
    </fill>
    <fill>
      <patternFill patternType="solid">
        <fgColor rgb="0000B050"/>
      </patternFill>
    </fill>
    <fill>
      <patternFill patternType="solid">
        <fgColor rgb="00FF9900"/>
      </patternFill>
    </fill>
    <fill>
      <patternFill patternType="solid">
        <fgColor rgb="00FFF0F0"/>
      </patternFill>
    </fill>
    <fill>
      <patternFill patternType="solid">
        <fgColor rgb="00375623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bottom style="thick">
        <color rgb="001F3864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indent="1"/>
    </xf>
    <xf numFmtId="3" fontId="8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6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3" fontId="15" fillId="0" borderId="0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3" fontId="1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10" fontId="15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indent="1"/>
    </xf>
    <xf numFmtId="49" fontId="15" fillId="8" borderId="0" applyAlignment="1" pivotButton="0" quotePrefix="0" xfId="0">
      <alignment horizontal="center" vertical="center"/>
    </xf>
    <xf numFmtId="3" fontId="8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 indent="1"/>
    </xf>
    <xf numFmtId="49" fontId="15" fillId="9" borderId="0" applyAlignment="1" pivotButton="0" quotePrefix="0" xfId="0">
      <alignment horizontal="center" vertical="center"/>
    </xf>
    <xf numFmtId="3" fontId="8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indent="1"/>
    </xf>
    <xf numFmtId="49" fontId="15" fillId="10" borderId="0" applyAlignment="1" pivotButton="0" quotePrefix="0" xfId="0">
      <alignment horizontal="center" vertical="center"/>
    </xf>
    <xf numFmtId="3" fontId="8" fillId="10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15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left" vertical="center" indent="1"/>
    </xf>
    <xf numFmtId="164" fontId="15" fillId="0" borderId="0" applyAlignment="1" pivotButton="0" quotePrefix="0" xfId="0">
      <alignment horizontal="center"/>
    </xf>
    <xf numFmtId="2" fontId="15" fillId="5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5" borderId="0" applyAlignment="1" pivotButton="0" quotePrefix="0" xfId="0">
      <alignment horizontal="center"/>
    </xf>
    <xf numFmtId="164" fontId="7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 vertical="center" indent="1"/>
    </xf>
    <xf numFmtId="3" fontId="8" fillId="0" borderId="0" applyAlignment="1" pivotButton="0" quotePrefix="0" xfId="0">
      <alignment horizontal="center"/>
    </xf>
    <xf numFmtId="3" fontId="8" fillId="6" borderId="0" applyAlignment="1" pivotButton="0" quotePrefix="0" xfId="0">
      <alignment horizontal="center"/>
    </xf>
    <xf numFmtId="164" fontId="8" fillId="6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3" fontId="15" fillId="5" borderId="0" applyAlignment="1" pivotButton="0" quotePrefix="0" xfId="0">
      <alignment horizontal="center"/>
    </xf>
    <xf numFmtId="3" fontId="8" fillId="5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0" fillId="6" borderId="0" pivotButton="0" quotePrefix="0" xfId="0"/>
    <xf numFmtId="3" fontId="7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left" vertical="center" indent="1"/>
    </xf>
    <xf numFmtId="166" fontId="7" fillId="6" borderId="0" applyAlignment="1" pivotButton="0" quotePrefix="0" xfId="0">
      <alignment horizontal="center"/>
    </xf>
    <xf numFmtId="166" fontId="15" fillId="5" borderId="0" applyAlignment="1" pivotButton="0" quotePrefix="0" xfId="0">
      <alignment horizontal="center"/>
    </xf>
    <xf numFmtId="164" fontId="7" fillId="6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166" fontId="19" fillId="8" borderId="0" applyAlignment="1" pivotButton="0" quotePrefix="0" xfId="0">
      <alignment horizontal="center"/>
    </xf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166" fontId="22" fillId="9" borderId="0" applyAlignment="1" pivotButton="0" quotePrefix="0" xfId="0">
      <alignment horizontal="center"/>
    </xf>
    <xf numFmtId="0" fontId="23" fillId="9" borderId="0" applyAlignment="1" pivotButton="0" quotePrefix="0" xfId="0">
      <alignment horizontal="left" vertical="center" indent="1"/>
    </xf>
    <xf numFmtId="0" fontId="24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166" fontId="25" fillId="10" borderId="0" applyAlignment="1" pivotButton="0" quotePrefix="0" xfId="0">
      <alignment horizontal="center"/>
    </xf>
    <xf numFmtId="0" fontId="26" fillId="10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center"/>
    </xf>
    <xf numFmtId="166" fontId="7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 wrapText="1"/>
    </xf>
    <xf numFmtId="165" fontId="15" fillId="5" borderId="0" applyAlignment="1" pivotButton="0" quotePrefix="0" xfId="0">
      <alignment horizontal="center"/>
    </xf>
    <xf numFmtId="167" fontId="15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7" fontId="7" fillId="6" borderId="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left" vertical="center" wrapText="1" indent="1"/>
    </xf>
    <xf numFmtId="0" fontId="16" fillId="11" borderId="0" applyAlignment="1" pivotButton="0" quotePrefix="0" xfId="0">
      <alignment horizontal="center" vertical="center"/>
    </xf>
    <xf numFmtId="0" fontId="27" fillId="5" borderId="0" applyAlignment="1" pivotButton="0" quotePrefix="0" xfId="0">
      <alignment horizontal="left" vertical="center" wrapText="1" indent="1"/>
    </xf>
    <xf numFmtId="0" fontId="28" fillId="5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left" vertical="center" wrapText="1" indent="1"/>
    </xf>
    <xf numFmtId="0" fontId="28" fillId="0" borderId="0" applyAlignment="1" pivotButton="0" quotePrefix="0" xfId="0">
      <alignment horizontal="left" vertical="center" wrapText="1" indent="1"/>
    </xf>
    <xf numFmtId="0" fontId="16" fillId="1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left" vertical="center" wrapText="1" indent="1"/>
    </xf>
    <xf numFmtId="0" fontId="29" fillId="13" borderId="0" applyAlignment="1" pivotButton="0" quotePrefix="0" xfId="0">
      <alignment horizontal="center" vertical="center" wrapText="1"/>
    </xf>
    <xf numFmtId="0" fontId="30" fillId="13" borderId="0" applyAlignment="1" pivotButton="0" quotePrefix="0" xfId="0">
      <alignment horizontal="center" vertical="center" wrapText="1"/>
    </xf>
    <xf numFmtId="0" fontId="30" fillId="13" borderId="0" applyAlignment="1" pivotButton="0" quotePrefix="0" xfId="0">
      <alignment horizontal="center"/>
    </xf>
    <xf numFmtId="0" fontId="2" fillId="13" borderId="0" applyAlignment="1" pivotButton="0" quotePrefix="0" xfId="0">
      <alignment horizontal="left" vertical="center" wrapText="1" indent="1"/>
    </xf>
    <xf numFmtId="0" fontId="0" fillId="13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 indent="1"/>
    </xf>
    <xf numFmtId="0" fontId="1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 indent="1"/>
    </xf>
    <xf numFmtId="0" fontId="31" fillId="15" borderId="0" applyAlignment="1" pivotButton="0" quotePrefix="0" xfId="0">
      <alignment horizontal="center" vertical="center" wrapText="1"/>
    </xf>
    <xf numFmtId="0" fontId="32" fillId="15" borderId="0" applyAlignment="1" pivotButton="0" quotePrefix="0" xfId="0">
      <alignment horizontal="center"/>
    </xf>
    <xf numFmtId="0" fontId="2" fillId="15" borderId="0" applyAlignment="1" pivotButton="0" quotePrefix="0" xfId="0">
      <alignment horizontal="left" vertical="center" wrapText="1" indent="1"/>
    </xf>
    <xf numFmtId="0" fontId="33" fillId="15" borderId="0" applyAlignment="1" pivotButton="0" quotePrefix="0" xfId="0">
      <alignment horizontal="left" vertical="center" wrapText="1" indent="1"/>
    </xf>
    <xf numFmtId="0" fontId="0" fillId="15" borderId="0" pivotButton="0" quotePrefix="0" xfId="0"/>
    <xf numFmtId="0" fontId="31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left" vertical="center" wrapText="1" indent="1"/>
    </xf>
    <xf numFmtId="165" fontId="15" fillId="5" borderId="0" applyAlignment="1" pivotButton="0" quotePrefix="0" xfId="0">
      <alignment horizontal="center" vertical="center"/>
    </xf>
    <xf numFmtId="0" fontId="34" fillId="5" borderId="0" applyAlignment="1" pivotButton="0" quotePrefix="0" xfId="0">
      <alignment horizontal="left" vertical="center" wrapText="1" indent="1"/>
    </xf>
    <xf numFmtId="0" fontId="2" fillId="5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center" wrapText="1" indent="1"/>
    </xf>
    <xf numFmtId="164" fontId="15" fillId="5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6" fillId="5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indent="1"/>
    </xf>
    <xf numFmtId="0" fontId="37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1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SHOPIFY INC. (SHOP) — INITIATING COVERAGE</t>
        </is>
      </c>
    </row>
    <row r="3"/>
    <row r="4">
      <c r="B4" s="2" t="inlineStr">
        <is>
          <t>Equity Research  |  Initiating Coverage  |  2026-05-23  |  All figures in USD Millions</t>
        </is>
      </c>
    </row>
    <row r="5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30" customHeight="1">
      <c r="B6" s="4" t="inlineStr">
        <is>
          <t>SELL</t>
        </is>
      </c>
      <c r="E6" s="5" t="inlineStr">
        <is>
          <t>Price Target: $64.00</t>
        </is>
      </c>
      <c r="I6" s="6" t="inlineStr">
        <is>
          <t>Current Price: $103.00  |  Upside/(Downside): (37.9%)</t>
        </is>
      </c>
    </row>
    <row r="8">
      <c r="B8" s="7" t="inlineStr"/>
      <c r="C8" s="7" t="inlineStr">
        <is>
          <t>FY2023A</t>
        </is>
      </c>
      <c r="D8" s="7" t="inlineStr">
        <is>
          <t>FY2024A</t>
        </is>
      </c>
      <c r="E8" s="7" t="inlineStr">
        <is>
          <t>FY2025A</t>
        </is>
      </c>
      <c r="F8" s="7" t="inlineStr">
        <is>
          <t>FY2026E (Base)</t>
        </is>
      </c>
      <c r="G8" s="7" t="inlineStr">
        <is>
          <t>FY2027E (Base)</t>
        </is>
      </c>
    </row>
    <row r="9" ht="17" customHeight="1">
      <c r="B9" s="8" t="inlineStr">
        <is>
          <t>Revenue ($M)</t>
        </is>
      </c>
      <c r="C9" s="9" t="n">
        <v>7060</v>
      </c>
      <c r="D9" s="9" t="n">
        <v>8880</v>
      </c>
      <c r="E9" s="9" t="n">
        <v>11560</v>
      </c>
      <c r="F9" s="9" t="n">
        <v>15144</v>
      </c>
      <c r="G9" s="9" t="n">
        <v>19081</v>
      </c>
    </row>
    <row r="10" ht="17" customHeight="1">
      <c r="B10" s="10" t="inlineStr">
        <is>
          <t>Revenue Growth</t>
        </is>
      </c>
      <c r="C10" s="11" t="inlineStr">
        <is>
          <t>—</t>
        </is>
      </c>
      <c r="D10" s="12" t="n">
        <v>0.257</v>
      </c>
      <c r="E10" s="12" t="n">
        <v>0.302</v>
      </c>
      <c r="F10" s="12" t="n">
        <v>0.31</v>
      </c>
      <c r="G10" s="12" t="n">
        <v>0.261</v>
      </c>
    </row>
    <row r="11" ht="17" customHeight="1">
      <c r="B11" s="8" t="inlineStr">
        <is>
          <t>Gross Margin</t>
        </is>
      </c>
      <c r="C11" s="13" t="n">
        <v>0.498</v>
      </c>
      <c r="D11" s="13" t="n">
        <v>0.504</v>
      </c>
      <c r="E11" s="13" t="n">
        <v>0.481</v>
      </c>
      <c r="F11" s="13" t="n">
        <v>0.475</v>
      </c>
      <c r="G11" s="13" t="n">
        <v>0.475</v>
      </c>
    </row>
    <row r="12" ht="17" customHeight="1">
      <c r="B12" s="10" t="inlineStr">
        <is>
          <t>FCF ($M)</t>
        </is>
      </c>
      <c r="C12" s="14" t="n">
        <v>905</v>
      </c>
      <c r="D12" s="14" t="n">
        <v>1597</v>
      </c>
      <c r="E12" s="14" t="n">
        <v>2007</v>
      </c>
      <c r="F12" s="14" t="n">
        <v>2650</v>
      </c>
      <c r="G12" s="14" t="n">
        <v>3625</v>
      </c>
    </row>
    <row r="13" ht="17" customHeight="1">
      <c r="B13" s="8" t="inlineStr">
        <is>
          <t>FCF Margin</t>
        </is>
      </c>
      <c r="C13" s="13" t="n">
        <v>0.128</v>
      </c>
      <c r="D13" s="13" t="n">
        <v>0.18</v>
      </c>
      <c r="E13" s="13" t="n">
        <v>0.174</v>
      </c>
      <c r="F13" s="13" t="n">
        <v>0.175</v>
      </c>
      <c r="G13" s="13" t="n">
        <v>0.19</v>
      </c>
    </row>
    <row r="14" ht="17" customHeight="1">
      <c r="B14" s="10" t="inlineStr">
        <is>
          <t>GMV ($B)</t>
        </is>
      </c>
      <c r="C14" s="15" t="n">
        <v>235.9</v>
      </c>
      <c r="D14" s="15" t="n">
        <v>292.3</v>
      </c>
      <c r="E14" s="15" t="n">
        <v>378.4</v>
      </c>
      <c r="F14" s="15" t="n">
        <v>496.2</v>
      </c>
      <c r="G14" s="15" t="n">
        <v>625.2</v>
      </c>
    </row>
    <row r="15" ht="17" customHeight="1">
      <c r="B15" s="8" t="inlineStr">
        <is>
          <t>Adj. EPS (cons.)</t>
        </is>
      </c>
      <c r="C15" s="16" t="n">
        <v>0.1</v>
      </c>
      <c r="D15" s="16" t="n">
        <v>1.55</v>
      </c>
      <c r="E15" s="16" t="n">
        <v>0.9399999999999999</v>
      </c>
      <c r="F15" s="16" t="n">
        <v>1.86</v>
      </c>
      <c r="G15" s="16" t="n">
        <v>2.35</v>
      </c>
    </row>
    <row r="17" ht="20" customHeight="1">
      <c r="B17" s="17" t="inlineStr">
        <is>
          <t>VALUATION FOOTBALL FIELD</t>
        </is>
      </c>
    </row>
    <row r="18" ht="17" customHeight="1">
      <c r="B18" s="18" t="inlineStr">
        <is>
          <t>DCF — Bear Case</t>
        </is>
      </c>
      <c r="F18" s="19" t="inlineStr">
        <is>
          <t>$31.68</t>
        </is>
      </c>
    </row>
    <row r="19" ht="17" customHeight="1">
      <c r="B19" s="18" t="inlineStr">
        <is>
          <t>DCF — Base Case</t>
        </is>
      </c>
      <c r="F19" s="20" t="inlineStr">
        <is>
          <t>$46.06</t>
        </is>
      </c>
    </row>
    <row r="20" ht="17" customHeight="1">
      <c r="B20" s="18" t="inlineStr">
        <is>
          <t>DCF — Bull Case</t>
        </is>
      </c>
      <c r="F20" s="21" t="inlineStr">
        <is>
          <t>$57.06</t>
        </is>
      </c>
    </row>
    <row r="21" ht="17" customHeight="1">
      <c r="B21" s="18" t="inlineStr">
        <is>
          <t>Comps P/S Median (3.5x NTM)</t>
        </is>
      </c>
      <c r="F21" s="22" t="inlineStr">
        <is>
          <t>$44.90</t>
        </is>
      </c>
    </row>
    <row r="22" ht="17" customHeight="1">
      <c r="B22" s="18" t="inlineStr">
        <is>
          <t>Comps P/S Premium (5.5x NTM)</t>
        </is>
      </c>
      <c r="F22" s="23" t="inlineStr">
        <is>
          <t>$68.11</t>
        </is>
      </c>
    </row>
    <row r="23" ht="17" customHeight="1">
      <c r="B23" s="18" t="inlineStr">
        <is>
          <t>Price Target (Blended)</t>
        </is>
      </c>
      <c r="F23" s="24" t="inlineStr">
        <is>
          <t>$64.00</t>
        </is>
      </c>
    </row>
    <row r="24" ht="17" customHeight="1">
      <c r="B24" s="18" t="inlineStr">
        <is>
          <t>Current Price</t>
        </is>
      </c>
      <c r="F24" s="19" t="inlineStr">
        <is>
          <t>$103.00</t>
        </is>
      </c>
    </row>
    <row r="26" ht="20" customHeight="1">
      <c r="B26" s="17" t="inlineStr">
        <is>
          <t>INVESTMENT THESIS</t>
        </is>
      </c>
    </row>
    <row r="27" ht="30" customHeight="1">
      <c r="B27" s="25" t="inlineStr">
        <is>
          <t>• Shopify is the dominant SMB-to-enterprise commerce OS with 29% US ecommerce share and $378B GMV (FY2025A); 31% revenue CAGR since 2020.</t>
        </is>
      </c>
    </row>
    <row r="28" ht="30" customHeight="1">
      <c r="B28" s="25" t="inlineStr">
        <is>
          <t>• FCF breakout is real: $2.0B FCF at 17.4% margin (FY2025A), on track to $2.65B in FY2026E — but heavily stock-based-comp driven (~3.9% of revenue).</t>
        </is>
      </c>
    </row>
    <row r="29" ht="30" customHeight="1">
      <c r="B29" s="25" t="inlineStr">
        <is>
          <t>• At $103/share, SHOP trades at ~17x NTM Revenue and ~55x NTM Adj. EPS — pricing in 30%+ growth for 7+ years. Our models yield $46–$68 fair value.</t>
        </is>
      </c>
    </row>
    <row r="30" ht="30" customHeight="1">
      <c r="B30" s="25" t="inlineStr">
        <is>
          <t>• Catalysts to watch: GMV take-rate expansion (currently ~3.06%), Payments penetration above 70%, B2B/enterprise segment ramp, AI-commerce features.</t>
        </is>
      </c>
    </row>
    <row r="31" ht="30" customHeight="1">
      <c r="B31" s="25" t="inlineStr">
        <is>
          <t>• Key risks: macro-driven SMB spending slowdown, fintech margin compression, Amazon/BigCommerce/WooCommerce competitive threats, FX headwinds.</t>
        </is>
      </c>
    </row>
  </sheetData>
  <mergeCells count="12">
    <mergeCell ref="B4:L4"/>
    <mergeCell ref="B26:L26"/>
    <mergeCell ref="B30:L30"/>
    <mergeCell ref="B29:L29"/>
    <mergeCell ref="E6:H6"/>
    <mergeCell ref="I6:L6"/>
    <mergeCell ref="B2:L3"/>
    <mergeCell ref="B28:L28"/>
    <mergeCell ref="B31:L31"/>
    <mergeCell ref="B6:D6"/>
    <mergeCell ref="B17:L17"/>
    <mergeCell ref="B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3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B2" s="26" t="inlineStr">
        <is>
          <t>SHOPIFY — REVENUE MODEL (Segment-Level Build)</t>
        </is>
      </c>
    </row>
    <row r="3"/>
    <row r="4">
      <c r="B4" s="27" t="inlineStr">
        <is>
          <t>All figures in USD Millions</t>
        </is>
      </c>
    </row>
    <row r="6">
      <c r="B6" s="28" t="inlineStr">
        <is>
          <t>Line Item</t>
        </is>
      </c>
      <c r="C6" s="28" t="inlineStr">
        <is>
          <t>FY2020A</t>
        </is>
      </c>
      <c r="D6" s="28" t="inlineStr">
        <is>
          <t>FY2021A</t>
        </is>
      </c>
      <c r="E6" s="28" t="inlineStr">
        <is>
          <t>FY2022A</t>
        </is>
      </c>
      <c r="F6" s="28" t="inlineStr">
        <is>
          <t>FY2023A</t>
        </is>
      </c>
      <c r="G6" s="28" t="inlineStr">
        <is>
          <t>FY2024A</t>
        </is>
      </c>
      <c r="H6" s="28" t="inlineStr">
        <is>
          <t>FY2025A</t>
        </is>
      </c>
      <c r="I6" s="29" t="inlineStr">
        <is>
          <t>FY2026E</t>
        </is>
      </c>
      <c r="J6" s="29" t="inlineStr">
        <is>
          <t>FY2027E</t>
        </is>
      </c>
      <c r="K6" s="29" t="inlineStr">
        <is>
          <t>FY2028E</t>
        </is>
      </c>
      <c r="L6" s="29" t="inlineStr">
        <is>
          <t>FY2029E</t>
        </is>
      </c>
      <c r="M6" s="29" t="inlineStr">
        <is>
          <t>FY2030E</t>
        </is>
      </c>
    </row>
    <row r="7" ht="17" customHeight="1">
      <c r="B7" s="30" t="inlineStr">
        <is>
          <t>Subscription Solutions ($M)</t>
        </is>
      </c>
      <c r="C7" s="31" t="n">
        <v>696</v>
      </c>
      <c r="D7" s="31" t="n">
        <v>1034</v>
      </c>
      <c r="E7" s="31" t="n">
        <v>1489</v>
      </c>
      <c r="F7" s="31" t="n">
        <v>1809</v>
      </c>
      <c r="G7" s="31" t="n">
        <v>2171</v>
      </c>
      <c r="H7" s="31" t="n">
        <v>2813</v>
      </c>
      <c r="I7" s="14" t="n">
        <v>3646</v>
      </c>
      <c r="J7" s="14" t="n">
        <v>4510</v>
      </c>
      <c r="K7" s="14" t="n">
        <v>5412</v>
      </c>
      <c r="L7" s="14" t="n">
        <v>6359</v>
      </c>
      <c r="M7" s="14" t="n">
        <v>7345</v>
      </c>
    </row>
    <row r="8" ht="17" customHeight="1">
      <c r="B8" s="30" t="inlineStr">
        <is>
          <t xml:space="preserve">  YoY Growth</t>
        </is>
      </c>
      <c r="C8" s="32" t="inlineStr">
        <is>
          <t>—</t>
        </is>
      </c>
      <c r="D8" s="33" t="n">
        <v>0.485632183908046</v>
      </c>
      <c r="E8" s="33" t="n">
        <v>0.4400386847195359</v>
      </c>
      <c r="F8" s="33" t="n">
        <v>0.2149093351242444</v>
      </c>
      <c r="G8" s="33" t="n">
        <v>0.2001105583195135</v>
      </c>
      <c r="H8" s="33" t="n">
        <v>0.295716259788116</v>
      </c>
      <c r="I8" s="12" t="n">
        <v>0.2961251333096337</v>
      </c>
      <c r="J8" s="12" t="n">
        <v>0.2369720241360396</v>
      </c>
      <c r="K8" s="12" t="n">
        <v>0.2</v>
      </c>
      <c r="L8" s="12" t="n">
        <v>0.1749815225424982</v>
      </c>
      <c r="M8" s="12" t="n">
        <v>0.1550558263877968</v>
      </c>
    </row>
    <row r="9" ht="17" customHeight="1">
      <c r="B9" s="30" t="inlineStr">
        <is>
          <t>Merchant Solutions ($M)</t>
        </is>
      </c>
      <c r="C9" s="31" t="n">
        <v>2233</v>
      </c>
      <c r="D9" s="31" t="n">
        <v>3578</v>
      </c>
      <c r="E9" s="31" t="n">
        <v>4111</v>
      </c>
      <c r="F9" s="31" t="n">
        <v>5251</v>
      </c>
      <c r="G9" s="31" t="n">
        <v>6709</v>
      </c>
      <c r="H9" s="31" t="n">
        <v>8747</v>
      </c>
      <c r="I9" s="14" t="n">
        <v>11572</v>
      </c>
      <c r="J9" s="14" t="n">
        <v>14731</v>
      </c>
      <c r="K9" s="14" t="n">
        <v>18266</v>
      </c>
      <c r="L9" s="14" t="n">
        <v>22285</v>
      </c>
      <c r="M9" s="14" t="n">
        <v>26519</v>
      </c>
    </row>
    <row r="10" ht="17" customHeight="1">
      <c r="B10" s="30" t="inlineStr">
        <is>
          <t xml:space="preserve">  YoY Growth</t>
        </is>
      </c>
      <c r="C10" s="32" t="inlineStr">
        <is>
          <t>—</t>
        </is>
      </c>
      <c r="D10" s="33" t="n">
        <v>0.6023287057769817</v>
      </c>
      <c r="E10" s="33" t="n">
        <v>0.1489659027389603</v>
      </c>
      <c r="F10" s="33" t="n">
        <v>0.277304792021406</v>
      </c>
      <c r="G10" s="33" t="n">
        <v>0.277661397828985</v>
      </c>
      <c r="H10" s="33" t="n">
        <v>0.3037710538083171</v>
      </c>
      <c r="I10" s="12" t="n">
        <v>0.3229678746998972</v>
      </c>
      <c r="J10" s="12" t="n">
        <v>0.2729865191842378</v>
      </c>
      <c r="K10" s="12" t="n">
        <v>0.2399701310162243</v>
      </c>
      <c r="L10" s="12" t="n">
        <v>0.220026278331326</v>
      </c>
      <c r="M10" s="12" t="n">
        <v>0.1899932690150326</v>
      </c>
    </row>
    <row r="11" ht="17" customHeight="1">
      <c r="B11" s="34" t="inlineStr"/>
    </row>
    <row r="12" ht="17" customHeight="1">
      <c r="B12" s="35" t="inlineStr">
        <is>
          <t>TOTAL REVENUE ($M)</t>
        </is>
      </c>
      <c r="C12" s="36" t="n">
        <v>2929</v>
      </c>
      <c r="D12" s="36" t="n">
        <v>4612</v>
      </c>
      <c r="E12" s="36" t="n">
        <v>5600</v>
      </c>
      <c r="F12" s="36" t="n">
        <v>7060</v>
      </c>
      <c r="G12" s="36" t="n">
        <v>8880</v>
      </c>
      <c r="H12" s="36" t="n">
        <v>11560</v>
      </c>
      <c r="I12" s="37" t="n">
        <v>15218</v>
      </c>
      <c r="J12" s="37" t="n">
        <v>19241</v>
      </c>
      <c r="K12" s="37" t="n">
        <v>23678</v>
      </c>
      <c r="L12" s="37" t="n">
        <v>28644</v>
      </c>
      <c r="M12" s="37" t="n">
        <v>33864</v>
      </c>
    </row>
    <row r="13" ht="17" customHeight="1">
      <c r="B13" s="30" t="inlineStr">
        <is>
          <t xml:space="preserve">  YoY Growth</t>
        </is>
      </c>
      <c r="C13" s="32" t="inlineStr">
        <is>
          <t>—</t>
        </is>
      </c>
      <c r="D13" s="33" t="n">
        <v>0.5745988391942642</v>
      </c>
      <c r="E13" s="33" t="n">
        <v>0.2142237640936686</v>
      </c>
      <c r="F13" s="33" t="n">
        <v>0.2607142857142857</v>
      </c>
      <c r="G13" s="33" t="n">
        <v>0.2577903682719547</v>
      </c>
      <c r="H13" s="33" t="n">
        <v>0.3018018018018018</v>
      </c>
      <c r="I13" s="12" t="n">
        <v>0.3164359861591695</v>
      </c>
      <c r="J13" s="12" t="n">
        <v>0.2643579971086871</v>
      </c>
      <c r="K13" s="12" t="n">
        <v>0.230601320097708</v>
      </c>
      <c r="L13" s="12" t="n">
        <v>0.2097305515668553</v>
      </c>
      <c r="M13" s="12" t="n">
        <v>0.1822371177209887</v>
      </c>
    </row>
    <row r="14" ht="17" customHeight="1">
      <c r="B14" s="30" t="inlineStr">
        <is>
          <t>Subscription Mix %</t>
        </is>
      </c>
      <c r="C14" s="33" t="n">
        <v>0.2376237623762376</v>
      </c>
      <c r="D14" s="33" t="n">
        <v>0.2241977450130095</v>
      </c>
      <c r="E14" s="33" t="n">
        <v>0.2658928571428572</v>
      </c>
      <c r="F14" s="33" t="n">
        <v>0.2562322946175637</v>
      </c>
      <c r="G14" s="33" t="n">
        <v>0.244481981981982</v>
      </c>
      <c r="H14" s="33" t="n">
        <v>0.2433391003460208</v>
      </c>
      <c r="I14" s="12" t="n">
        <v>0.2395847023261927</v>
      </c>
      <c r="J14" s="12" t="n">
        <v>0.2343953016994959</v>
      </c>
      <c r="K14" s="12" t="n">
        <v>0.228566601908945</v>
      </c>
      <c r="L14" s="12" t="n">
        <v>0.2220011171624075</v>
      </c>
      <c r="M14" s="12" t="n">
        <v>0.2168969997637609</v>
      </c>
    </row>
    <row r="15" ht="17" customHeight="1">
      <c r="B15" s="30" t="inlineStr">
        <is>
          <t>Merchant Mix %</t>
        </is>
      </c>
      <c r="C15" s="33" t="n">
        <v>0.7623762376237624</v>
      </c>
      <c r="D15" s="33" t="n">
        <v>0.7758022549869905</v>
      </c>
      <c r="E15" s="33" t="n">
        <v>0.7341071428571428</v>
      </c>
      <c r="F15" s="33" t="n">
        <v>0.7437677053824363</v>
      </c>
      <c r="G15" s="33" t="n">
        <v>0.755518018018018</v>
      </c>
      <c r="H15" s="33" t="n">
        <v>0.7566608996539792</v>
      </c>
      <c r="I15" s="12" t="n">
        <v>0.7604152976738073</v>
      </c>
      <c r="J15" s="12" t="n">
        <v>0.7656046983005041</v>
      </c>
      <c r="K15" s="12" t="n">
        <v>0.7714333980910549</v>
      </c>
      <c r="L15" s="12" t="n">
        <v>0.7779988828375926</v>
      </c>
      <c r="M15" s="12" t="n">
        <v>0.783103000236239</v>
      </c>
    </row>
    <row r="16" ht="17" customHeight="1">
      <c r="B16" s="34" t="inlineStr"/>
    </row>
    <row r="17" ht="17" customHeight="1">
      <c r="B17" s="30" t="inlineStr">
        <is>
          <t>GMV ($M)</t>
        </is>
      </c>
      <c r="C17" s="31" t="n">
        <v>119854</v>
      </c>
      <c r="D17" s="31" t="n">
        <v>175385</v>
      </c>
      <c r="E17" s="31" t="n">
        <v>197186</v>
      </c>
      <c r="F17" s="31" t="n">
        <v>235910</v>
      </c>
      <c r="G17" s="31" t="n">
        <v>292280</v>
      </c>
      <c r="H17" s="31" t="n">
        <v>378440</v>
      </c>
      <c r="I17" s="14" t="n">
        <v>496135</v>
      </c>
      <c r="J17" s="14" t="n">
        <v>635053</v>
      </c>
      <c r="K17" s="14" t="n">
        <v>793816</v>
      </c>
      <c r="L17" s="14" t="n">
        <v>972425</v>
      </c>
      <c r="M17" s="14" t="n">
        <v>1166910</v>
      </c>
    </row>
    <row r="18" ht="17" customHeight="1">
      <c r="B18" s="30" t="inlineStr">
        <is>
          <t xml:space="preserve">  GMV YoY Growth</t>
        </is>
      </c>
      <c r="C18" s="32" t="inlineStr">
        <is>
          <t>—</t>
        </is>
      </c>
      <c r="D18" s="33" t="n">
        <v>0.4633220418175448</v>
      </c>
      <c r="E18" s="33" t="n">
        <v>0.1243036747726431</v>
      </c>
      <c r="F18" s="33" t="n">
        <v>0.1963831103628046</v>
      </c>
      <c r="G18" s="33" t="n">
        <v>0.2389470560807088</v>
      </c>
      <c r="H18" s="33" t="n">
        <v>0.2947858218146981</v>
      </c>
      <c r="I18" s="12" t="n">
        <v>0.3110004227882888</v>
      </c>
      <c r="J18" s="12" t="n">
        <v>0.2800004031160874</v>
      </c>
      <c r="K18" s="12" t="n">
        <v>0.24999960633207</v>
      </c>
      <c r="L18" s="12" t="n">
        <v>0.2250005038951093</v>
      </c>
      <c r="M18" s="12" t="n">
        <v>0.2</v>
      </c>
    </row>
    <row r="19" ht="17" customHeight="1">
      <c r="B19" s="30" t="inlineStr">
        <is>
          <t>Implied Take Rate</t>
        </is>
      </c>
      <c r="C19" s="38" t="n">
        <v>24.43806631401538</v>
      </c>
      <c r="D19" s="38" t="n">
        <v>26.29643356045272</v>
      </c>
      <c r="E19" s="38" t="n">
        <v>28.39958212043451</v>
      </c>
      <c r="F19" s="38" t="n">
        <v>29.92666694926031</v>
      </c>
      <c r="G19" s="38" t="n">
        <v>30.38182564664021</v>
      </c>
      <c r="H19" s="38" t="n">
        <v>30.54645386322799</v>
      </c>
      <c r="I19" s="39" t="n">
        <v>30.67310308686144</v>
      </c>
      <c r="J19" s="39" t="n">
        <v>30.2982585705445</v>
      </c>
      <c r="K19" s="39" t="n">
        <v>29.82807098874299</v>
      </c>
      <c r="L19" s="39" t="n">
        <v>29.45625626655012</v>
      </c>
      <c r="M19" s="39" t="n">
        <v>29.02023292284752</v>
      </c>
    </row>
    <row r="20" ht="17" customHeight="1">
      <c r="B20" s="34" t="inlineStr"/>
    </row>
    <row r="21" ht="17" customHeight="1">
      <c r="B21" s="40" t="inlineStr">
        <is>
          <t>Bull Revenue ($M)</t>
        </is>
      </c>
      <c r="C21" s="41" t="inlineStr">
        <is>
          <t>—</t>
        </is>
      </c>
      <c r="D21" s="41" t="inlineStr">
        <is>
          <t>—</t>
        </is>
      </c>
      <c r="E21" s="41" t="inlineStr">
        <is>
          <t>—</t>
        </is>
      </c>
      <c r="F21" s="41" t="inlineStr">
        <is>
          <t>—</t>
        </is>
      </c>
      <c r="G21" s="41" t="inlineStr">
        <is>
          <t>—</t>
        </is>
      </c>
      <c r="H21" s="41" t="inlineStr">
        <is>
          <t>—</t>
        </is>
      </c>
      <c r="I21" s="42" t="n">
        <v>15490</v>
      </c>
      <c r="J21" s="42" t="n">
        <v>20138</v>
      </c>
      <c r="K21" s="42" t="n">
        <v>25575</v>
      </c>
      <c r="L21" s="42" t="n">
        <v>31713</v>
      </c>
      <c r="M21" s="42" t="n">
        <v>38689</v>
      </c>
    </row>
    <row r="22" ht="17" customHeight="1">
      <c r="B22" s="43" t="inlineStr">
        <is>
          <t>Base Revenue ($M)</t>
        </is>
      </c>
      <c r="C22" s="44" t="inlineStr">
        <is>
          <t>—</t>
        </is>
      </c>
      <c r="D22" s="44" t="inlineStr">
        <is>
          <t>—</t>
        </is>
      </c>
      <c r="E22" s="44" t="inlineStr">
        <is>
          <t>—</t>
        </is>
      </c>
      <c r="F22" s="44" t="inlineStr">
        <is>
          <t>—</t>
        </is>
      </c>
      <c r="G22" s="44" t="inlineStr">
        <is>
          <t>—</t>
        </is>
      </c>
      <c r="H22" s="44" t="inlineStr">
        <is>
          <t>—</t>
        </is>
      </c>
      <c r="I22" s="45" t="n">
        <v>15144</v>
      </c>
      <c r="J22" s="45" t="n">
        <v>19081</v>
      </c>
      <c r="K22" s="45" t="n">
        <v>23470</v>
      </c>
      <c r="L22" s="45" t="n">
        <v>28398</v>
      </c>
      <c r="M22" s="45" t="n">
        <v>33510</v>
      </c>
    </row>
    <row r="23" ht="17" customHeight="1">
      <c r="B23" s="46" t="inlineStr">
        <is>
          <t>Bear Revenue ($M)</t>
        </is>
      </c>
      <c r="C23" s="47" t="inlineStr">
        <is>
          <t>—</t>
        </is>
      </c>
      <c r="D23" s="47" t="inlineStr">
        <is>
          <t>—</t>
        </is>
      </c>
      <c r="E23" s="47" t="inlineStr">
        <is>
          <t>—</t>
        </is>
      </c>
      <c r="F23" s="47" t="inlineStr">
        <is>
          <t>—</t>
        </is>
      </c>
      <c r="G23" s="47" t="inlineStr">
        <is>
          <t>—</t>
        </is>
      </c>
      <c r="H23" s="47" t="inlineStr">
        <is>
          <t>—</t>
        </is>
      </c>
      <c r="I23" s="48" t="n">
        <v>14450</v>
      </c>
      <c r="J23" s="48" t="n">
        <v>17340</v>
      </c>
      <c r="K23" s="48" t="n">
        <v>20288</v>
      </c>
      <c r="L23" s="48" t="n">
        <v>23128</v>
      </c>
      <c r="M23" s="48" t="n">
        <v>25903</v>
      </c>
    </row>
  </sheetData>
  <mergeCells count="1">
    <mergeCell ref="B2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9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6" t="inlineStr">
        <is>
          <t>SHOPIFY — DISCOUNTED CASH FLOW MODEL (Base Case)</t>
        </is>
      </c>
    </row>
    <row r="3"/>
    <row r="4">
      <c r="B4" s="27" t="inlineStr">
        <is>
          <t>All figures in USD Millions except per-share amounts</t>
        </is>
      </c>
    </row>
    <row r="6">
      <c r="B6" s="49" t="inlineStr">
        <is>
          <t>WACC CALCULATION</t>
        </is>
      </c>
    </row>
    <row r="7" ht="17" customHeight="1">
      <c r="B7" s="8" t="inlineStr">
        <is>
          <t>Risk-Free Rate (10Y Treasury)</t>
        </is>
      </c>
      <c r="C7" s="50" t="n"/>
      <c r="D7" s="51" t="n">
        <v>0.0442</v>
      </c>
      <c r="E7" s="50" t="n"/>
      <c r="F7" s="50" t="n"/>
      <c r="G7" s="52" t="inlineStr">
        <is>
          <t>alphaspread.com / Damodaran Apr-2026</t>
        </is>
      </c>
      <c r="H7" s="50" t="n"/>
      <c r="I7" s="50" t="n"/>
    </row>
    <row r="8" ht="17" customHeight="1">
      <c r="B8" s="10" t="inlineStr">
        <is>
          <t>Equity Risk Premium (Damodaran)</t>
        </is>
      </c>
      <c r="D8" s="53" t="n">
        <v>0.055</v>
      </c>
      <c r="G8" s="27" t="inlineStr">
        <is>
          <t>Damodaran ERP Jan-2026 implied</t>
        </is>
      </c>
    </row>
    <row r="9" ht="17" customHeight="1">
      <c r="B9" s="8" t="inlineStr">
        <is>
          <t>Adjusted Beta</t>
        </is>
      </c>
      <c r="C9" s="50" t="n"/>
      <c r="D9" s="54" t="n">
        <v>1.65</v>
      </c>
      <c r="E9" s="50" t="n"/>
      <c r="F9" s="50" t="n"/>
      <c r="G9" s="52" t="inlineStr">
        <is>
          <t>Published 2.82 raw; adj. toward 1.0 (Blume method)</t>
        </is>
      </c>
      <c r="H9" s="50" t="n"/>
      <c r="I9" s="50" t="n"/>
    </row>
    <row r="10" ht="17" customHeight="1">
      <c r="B10" s="10" t="inlineStr">
        <is>
          <t>Cost of Equity (CAPM)</t>
        </is>
      </c>
      <c r="D10" s="55">
        <f>D7+D9*D8</f>
        <v/>
      </c>
      <c r="G10" s="27">
        <f>Rf + Beta × ERP</f>
        <v/>
      </c>
    </row>
    <row r="11" ht="17" customHeight="1">
      <c r="B11" s="8" t="inlineStr">
        <is>
          <t>Pre-tax Cost of Debt</t>
        </is>
      </c>
      <c r="C11" s="50" t="n"/>
      <c r="D11" s="51" t="n">
        <v>0.042</v>
      </c>
      <c r="E11" s="50" t="n"/>
      <c r="F11" s="50" t="n"/>
      <c r="G11" s="52" t="inlineStr">
        <is>
          <t>Interest exp / avg debt from filings</t>
        </is>
      </c>
      <c r="H11" s="50" t="n"/>
      <c r="I11" s="50" t="n"/>
    </row>
    <row r="12" ht="17" customHeight="1">
      <c r="B12" s="10" t="inlineStr">
        <is>
          <t>Effective Tax Rate</t>
        </is>
      </c>
      <c r="D12" s="53" t="n">
        <v>0.13</v>
      </c>
      <c r="G12" s="27" t="inlineStr">
        <is>
          <t>Blended CAN + intl effective rate</t>
        </is>
      </c>
    </row>
    <row r="13" ht="17" customHeight="1">
      <c r="B13" s="8" t="inlineStr">
        <is>
          <t>After-tax Cost of Debt</t>
        </is>
      </c>
      <c r="C13" s="50" t="n"/>
      <c r="D13" s="56">
        <f>D11*(1-D12)</f>
        <v/>
      </c>
      <c r="E13" s="50" t="n"/>
      <c r="F13" s="50" t="n"/>
      <c r="G13" s="52">
        <f>Kd × (1-Tax)</f>
        <v/>
      </c>
      <c r="H13" s="50" t="n"/>
      <c r="I13" s="50" t="n"/>
    </row>
    <row r="14" ht="17" customHeight="1">
      <c r="B14" s="10" t="inlineStr">
        <is>
          <t>Equity Weight</t>
        </is>
      </c>
      <c r="D14" s="53" t="n">
        <v>0.999</v>
      </c>
      <c r="G14" s="27" t="inlineStr">
        <is>
          <t>Market cap / (Mkt cap + Debt)</t>
        </is>
      </c>
    </row>
    <row r="15" ht="17" customHeight="1">
      <c r="B15" s="8" t="inlineStr">
        <is>
          <t>Debt Weight</t>
        </is>
      </c>
      <c r="C15" s="50" t="n"/>
      <c r="D15" s="51" t="n">
        <v>0.001</v>
      </c>
      <c r="E15" s="50" t="n"/>
      <c r="F15" s="50" t="n"/>
      <c r="G15" s="52">
        <f>1 - Equity Weight</f>
        <v/>
      </c>
      <c r="H15" s="50" t="n"/>
      <c r="I15" s="50" t="n"/>
    </row>
    <row r="16" ht="17" customHeight="1">
      <c r="B16" s="10" t="inlineStr">
        <is>
          <t>WACC</t>
        </is>
      </c>
      <c r="D16" s="57">
        <f>D14*D10+D15*D13</f>
        <v/>
      </c>
      <c r="G16" s="27">
        <f>We×Ke + Wd×Kd(1-T)</f>
        <v/>
      </c>
    </row>
    <row r="19">
      <c r="B19" s="49" t="inlineStr">
        <is>
          <t>5-YEAR PROJECTED UNLEVERED FREE CASH FLOW</t>
        </is>
      </c>
    </row>
    <row r="20">
      <c r="C20" s="7" t="inlineStr">
        <is>
          <t>FY2026E</t>
        </is>
      </c>
      <c r="D20" s="7" t="inlineStr">
        <is>
          <t>FY2027E</t>
        </is>
      </c>
      <c r="E20" s="7" t="inlineStr">
        <is>
          <t>FY2028E</t>
        </is>
      </c>
      <c r="F20" s="7" t="inlineStr">
        <is>
          <t>FY2029E</t>
        </is>
      </c>
      <c r="G20" s="7" t="inlineStr">
        <is>
          <t>FY2030E</t>
        </is>
      </c>
    </row>
    <row r="21" ht="17" customHeight="1">
      <c r="B21" s="58" t="inlineStr">
        <is>
          <t>Revenue Growth</t>
        </is>
      </c>
      <c r="C21" s="51" t="n">
        <v>0.31</v>
      </c>
      <c r="D21" s="51" t="n">
        <v>0.261</v>
      </c>
      <c r="E21" s="51" t="n">
        <v>0.23</v>
      </c>
      <c r="F21" s="51" t="n">
        <v>0.21</v>
      </c>
      <c r="G21" s="51" t="n">
        <v>0.18</v>
      </c>
    </row>
    <row r="22" ht="17" customHeight="1">
      <c r="B22" s="30" t="inlineStr">
        <is>
          <t>Revenue ($M)</t>
        </is>
      </c>
      <c r="C22" s="59" t="n">
        <v>15144</v>
      </c>
      <c r="D22" s="59" t="n">
        <v>19081</v>
      </c>
      <c r="E22" s="59" t="n">
        <v>23470</v>
      </c>
      <c r="F22" s="59" t="n">
        <v>28398</v>
      </c>
      <c r="G22" s="59" t="n">
        <v>33510</v>
      </c>
    </row>
    <row r="23" ht="17" customHeight="1">
      <c r="B23" s="58" t="inlineStr">
        <is>
          <t>Gross Margin</t>
        </is>
      </c>
      <c r="C23" s="56" t="n">
        <v>0.475</v>
      </c>
      <c r="D23" s="56" t="n">
        <v>0.475</v>
      </c>
      <c r="E23" s="56" t="n">
        <v>0.475</v>
      </c>
      <c r="F23" s="56" t="n">
        <v>0.478</v>
      </c>
      <c r="G23" s="56" t="n">
        <v>0.48</v>
      </c>
    </row>
    <row r="24" ht="17" customHeight="1">
      <c r="B24" s="30" t="inlineStr">
        <is>
          <t>R&amp;D % Rev</t>
        </is>
      </c>
      <c r="C24" s="53" t="n">
        <v>0.133</v>
      </c>
      <c r="D24" s="53" t="n">
        <v>0.13</v>
      </c>
      <c r="E24" s="53" t="n">
        <v>0.127</v>
      </c>
      <c r="F24" s="53" t="n">
        <v>0.125</v>
      </c>
      <c r="G24" s="53" t="n">
        <v>0.123</v>
      </c>
    </row>
    <row r="25" ht="17" customHeight="1">
      <c r="B25" s="58" t="inlineStr">
        <is>
          <t>SG&amp;A % Rev</t>
        </is>
      </c>
      <c r="C25" s="51" t="n">
        <v>0.184</v>
      </c>
      <c r="D25" s="51" t="n">
        <v>0.181</v>
      </c>
      <c r="E25" s="51" t="n">
        <v>0.178</v>
      </c>
      <c r="F25" s="51" t="n">
        <v>0.175</v>
      </c>
      <c r="G25" s="51" t="n">
        <v>0.173</v>
      </c>
    </row>
    <row r="26" ht="17" customHeight="1">
      <c r="B26" s="30" t="inlineStr">
        <is>
          <t>D&amp;A % Rev</t>
        </is>
      </c>
      <c r="C26" s="53" t="n">
        <v>0.017</v>
      </c>
      <c r="D26" s="53" t="n">
        <v>0.016</v>
      </c>
      <c r="E26" s="53" t="n">
        <v>0.015</v>
      </c>
      <c r="F26" s="53" t="n">
        <v>0.015</v>
      </c>
      <c r="G26" s="53" t="n">
        <v>0.014</v>
      </c>
    </row>
    <row r="27" ht="17" customHeight="1">
      <c r="B27" s="58" t="inlineStr">
        <is>
          <t>EBIT Margin</t>
        </is>
      </c>
      <c r="C27" s="56" t="n">
        <v>0.141</v>
      </c>
      <c r="D27" s="56" t="n">
        <v>0.148</v>
      </c>
      <c r="E27" s="56" t="n">
        <v>0.155</v>
      </c>
      <c r="F27" s="56" t="n">
        <v>0.163</v>
      </c>
      <c r="G27" s="56" t="n">
        <v>0.17</v>
      </c>
    </row>
    <row r="28" ht="17" customHeight="1">
      <c r="B28" s="30" t="inlineStr">
        <is>
          <t>Tax Rate</t>
        </is>
      </c>
      <c r="C28" s="55" t="n">
        <v>0.13</v>
      </c>
      <c r="D28" s="55" t="n">
        <v>0.13</v>
      </c>
      <c r="E28" s="55" t="n">
        <v>0.13</v>
      </c>
      <c r="F28" s="55" t="n">
        <v>0.13</v>
      </c>
      <c r="G28" s="55" t="n">
        <v>0.13</v>
      </c>
    </row>
    <row r="29" ht="17" customHeight="1">
      <c r="B29" s="58" t="inlineStr">
        <is>
          <t>CapEx % Rev</t>
        </is>
      </c>
      <c r="C29" s="51" t="n">
        <v>0.022</v>
      </c>
      <c r="D29" s="51" t="n">
        <v>0.021</v>
      </c>
      <c r="E29" s="51" t="n">
        <v>0.02</v>
      </c>
      <c r="F29" s="51" t="n">
        <v>0.02</v>
      </c>
      <c r="G29" s="51" t="n">
        <v>0.019</v>
      </c>
    </row>
    <row r="30" ht="17" customHeight="1">
      <c r="B30" s="35" t="inlineStr">
        <is>
          <t>FCF ($M)</t>
        </is>
      </c>
      <c r="C30" s="60" t="n">
        <v>2650</v>
      </c>
      <c r="D30" s="60" t="n">
        <v>3625</v>
      </c>
      <c r="E30" s="60" t="n">
        <v>4811</v>
      </c>
      <c r="F30" s="60" t="n">
        <v>6106</v>
      </c>
      <c r="G30" s="60" t="n">
        <v>7372</v>
      </c>
    </row>
    <row r="31" ht="17" customHeight="1">
      <c r="B31" s="35" t="inlineStr">
        <is>
          <t>FCF Margin</t>
        </is>
      </c>
      <c r="C31" s="61" t="n">
        <v>0.175</v>
      </c>
      <c r="D31" s="61" t="n">
        <v>0.19</v>
      </c>
      <c r="E31" s="61" t="n">
        <v>0.205</v>
      </c>
      <c r="F31" s="61" t="n">
        <v>0.215</v>
      </c>
      <c r="G31" s="61" t="n">
        <v>0.22</v>
      </c>
    </row>
    <row r="34">
      <c r="B34" s="49" t="inlineStr">
        <is>
          <t>TERMINAL VALUE &amp; EV BRIDGE</t>
        </is>
      </c>
    </row>
    <row r="35" ht="17" customHeight="1">
      <c r="B35" s="8" t="inlineStr">
        <is>
          <t>Terminal Growth Rate</t>
        </is>
      </c>
      <c r="C35" s="50" t="n"/>
      <c r="D35" s="50" t="n"/>
      <c r="E35" s="51" t="n">
        <v>0.03</v>
      </c>
      <c r="F35" s="50" t="n"/>
      <c r="G35" s="52" t="inlineStr">
        <is>
          <t>(INPUT)</t>
        </is>
      </c>
    </row>
    <row r="36" ht="17" customHeight="1">
      <c r="B36" s="10" t="inlineStr">
        <is>
          <t>WACC (from above)</t>
        </is>
      </c>
      <c r="E36" s="62" t="n">
        <v>0.1349</v>
      </c>
      <c r="G36" s="27" t="inlineStr">
        <is>
          <t>(LINKED)</t>
        </is>
      </c>
    </row>
    <row r="37" ht="17" customHeight="1">
      <c r="B37" s="8" t="inlineStr">
        <is>
          <t>Final Year FCF ($M)</t>
        </is>
      </c>
      <c r="C37" s="50" t="n"/>
      <c r="D37" s="50" t="n"/>
      <c r="E37" s="63" t="n">
        <v>7372</v>
      </c>
      <c r="F37" s="50" t="n"/>
      <c r="G37" s="52" t="inlineStr">
        <is>
          <t>(INPUT)</t>
        </is>
      </c>
    </row>
    <row r="38" ht="17" customHeight="1">
      <c r="B38" s="10" t="inlineStr">
        <is>
          <t>Terminal Value ($M)</t>
        </is>
      </c>
      <c r="E38" s="59" t="n">
        <v>72385</v>
      </c>
      <c r="G38" s="27" t="inlineStr">
        <is>
          <t>(FORMULA)</t>
        </is>
      </c>
    </row>
    <row r="39" ht="17" customHeight="1">
      <c r="B39" s="8" t="inlineStr">
        <is>
          <t>PV of Terminal Value ($M)</t>
        </is>
      </c>
      <c r="C39" s="50" t="n"/>
      <c r="D39" s="50" t="n"/>
      <c r="E39" s="64" t="n">
        <v>38447</v>
      </c>
      <c r="F39" s="50" t="n"/>
      <c r="G39" s="52" t="inlineStr">
        <is>
          <t>(FORMULA)</t>
        </is>
      </c>
    </row>
    <row r="40" ht="17" customHeight="1">
      <c r="B40" s="10" t="inlineStr">
        <is>
          <t>PV of Projected FCFs ($M)</t>
        </is>
      </c>
      <c r="E40" s="59" t="n">
        <v>16037</v>
      </c>
      <c r="G40" s="27" t="inlineStr">
        <is>
          <t>(FORMULA)</t>
        </is>
      </c>
    </row>
    <row r="41" ht="17" customHeight="1">
      <c r="B41" s="8" t="inlineStr">
        <is>
          <t>Enterprise Value ($M)</t>
        </is>
      </c>
      <c r="C41" s="50" t="n"/>
      <c r="D41" s="50" t="n"/>
      <c r="E41" s="64" t="n">
        <v>54484</v>
      </c>
      <c r="F41" s="50" t="n"/>
      <c r="G41" s="52" t="inlineStr">
        <is>
          <t>(FORMULA)</t>
        </is>
      </c>
    </row>
    <row r="42" ht="17" customHeight="1">
      <c r="B42" s="10" t="inlineStr">
        <is>
          <t>Less: Total Debt ($M)</t>
        </is>
      </c>
      <c r="E42" s="65" t="n">
        <v>188</v>
      </c>
      <c r="G42" s="27" t="inlineStr">
        <is>
          <t>(INPUT)</t>
        </is>
      </c>
    </row>
    <row r="43" ht="17" customHeight="1">
      <c r="B43" s="8" t="inlineStr">
        <is>
          <t>Plus: Cash &amp; Equivalents ($M)</t>
        </is>
      </c>
      <c r="C43" s="50" t="n"/>
      <c r="D43" s="50" t="n"/>
      <c r="E43" s="63" t="n">
        <v>5778</v>
      </c>
      <c r="F43" s="50" t="n"/>
      <c r="G43" s="52" t="inlineStr">
        <is>
          <t>(INPUT)</t>
        </is>
      </c>
    </row>
    <row r="44" ht="17" customHeight="1">
      <c r="B44" s="35" t="inlineStr">
        <is>
          <t>Equity Value ($M)</t>
        </is>
      </c>
      <c r="C44" s="66" t="n"/>
      <c r="D44" s="66" t="n"/>
      <c r="E44" s="67" t="n">
        <v>60074</v>
      </c>
      <c r="F44" s="66" t="n"/>
      <c r="G44" s="68" t="inlineStr">
        <is>
          <t>(FORMULA)</t>
        </is>
      </c>
    </row>
    <row r="45" ht="17" customHeight="1">
      <c r="B45" s="8" t="inlineStr">
        <is>
          <t>Diluted Shares Outstanding (M)</t>
        </is>
      </c>
      <c r="C45" s="50" t="n"/>
      <c r="D45" s="50" t="n"/>
      <c r="E45" s="63" t="n">
        <v>1305</v>
      </c>
      <c r="F45" s="50" t="n"/>
      <c r="G45" s="52" t="inlineStr">
        <is>
          <t>(INPUT)</t>
        </is>
      </c>
    </row>
    <row r="46" ht="17" customHeight="1">
      <c r="B46" s="35" t="inlineStr">
        <is>
          <t>Implied Share Price</t>
        </is>
      </c>
      <c r="C46" s="66" t="n"/>
      <c r="D46" s="66" t="n"/>
      <c r="E46" s="69" t="n">
        <v>46.03</v>
      </c>
      <c r="F46" s="66" t="n"/>
      <c r="G46" s="68" t="inlineStr">
        <is>
          <t>(FORMULA)</t>
        </is>
      </c>
    </row>
    <row r="47" ht="17" customHeight="1">
      <c r="B47" s="8" t="inlineStr">
        <is>
          <t>Current Price</t>
        </is>
      </c>
      <c r="C47" s="50" t="n"/>
      <c r="D47" s="50" t="n"/>
      <c r="E47" s="70" t="n">
        <v>103</v>
      </c>
      <c r="F47" s="50" t="n"/>
      <c r="G47" s="52" t="inlineStr">
        <is>
          <t>(INPUT)</t>
        </is>
      </c>
    </row>
    <row r="48" ht="17" customHeight="1">
      <c r="B48" s="35" t="inlineStr">
        <is>
          <t>Upside / (Downside)</t>
        </is>
      </c>
      <c r="C48" s="66" t="n"/>
      <c r="D48" s="66" t="n"/>
      <c r="E48" s="71" t="n">
        <v>-0.5531</v>
      </c>
      <c r="F48" s="66" t="n"/>
      <c r="G48" s="68" t="inlineStr">
        <is>
          <t>(FORMULA)</t>
        </is>
      </c>
    </row>
    <row r="49" ht="17" customHeight="1">
      <c r="B49" s="8" t="inlineStr">
        <is>
          <t>TV as % of EV</t>
        </is>
      </c>
      <c r="C49" s="50" t="n"/>
      <c r="D49" s="50" t="n"/>
      <c r="E49" s="56" t="n">
        <v>0.7057</v>
      </c>
      <c r="F49" s="50" t="n"/>
      <c r="G49" s="52" t="inlineStr">
        <is>
          <t>(FORMULA)</t>
        </is>
      </c>
    </row>
  </sheetData>
  <mergeCells count="4">
    <mergeCell ref="B6:I6"/>
    <mergeCell ref="B19:N19"/>
    <mergeCell ref="B34:I34"/>
    <mergeCell ref="B2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6" t="inlineStr">
        <is>
          <t>SHOPIFY — THREE-SCENARIO ANALYSIS</t>
        </is>
      </c>
    </row>
    <row r="3"/>
    <row r="4">
      <c r="B4" s="27" t="inlineStr">
        <is>
          <t>All figures in USD Millions except per-share amounts</t>
        </is>
      </c>
    </row>
    <row r="6" ht="22" customHeight="1">
      <c r="B6" s="72" t="inlineStr">
        <is>
          <t>BULL CASE — Management guidance high end + market share gains + AI monetization + enterprise ramp</t>
        </is>
      </c>
    </row>
    <row r="7">
      <c r="B7" s="7" t="inlineStr">
        <is>
          <t>Metric</t>
        </is>
      </c>
      <c r="C7" s="7" t="inlineStr">
        <is>
          <t>FY2026E</t>
        </is>
      </c>
      <c r="D7" s="7" t="inlineStr">
        <is>
          <t>FY2027E</t>
        </is>
      </c>
      <c r="E7" s="7" t="inlineStr">
        <is>
          <t>FY2028E</t>
        </is>
      </c>
      <c r="F7" s="7" t="inlineStr">
        <is>
          <t>FY2029E</t>
        </is>
      </c>
      <c r="G7" s="7" t="inlineStr">
        <is>
          <t>FY2030E</t>
        </is>
      </c>
    </row>
    <row r="8" ht="17" customHeight="1">
      <c r="B8" s="10" t="inlineStr">
        <is>
          <t>Revenue Growth</t>
        </is>
      </c>
      <c r="C8" s="55" t="n">
        <v>0.34</v>
      </c>
      <c r="D8" s="55" t="n">
        <v>0.3</v>
      </c>
      <c r="E8" s="55" t="n">
        <v>0.27</v>
      </c>
      <c r="F8" s="55" t="n">
        <v>0.24</v>
      </c>
      <c r="G8" s="55" t="n">
        <v>0.22</v>
      </c>
    </row>
    <row r="9" ht="17" customHeight="1">
      <c r="B9" s="10" t="inlineStr">
        <is>
          <t>Revenue ($M)</t>
        </is>
      </c>
      <c r="C9" s="59" t="n">
        <v>15490</v>
      </c>
      <c r="D9" s="59" t="n">
        <v>20138</v>
      </c>
      <c r="E9" s="59" t="n">
        <v>25575</v>
      </c>
      <c r="F9" s="59" t="n">
        <v>31713</v>
      </c>
      <c r="G9" s="59" t="n">
        <v>38689</v>
      </c>
    </row>
    <row r="10" ht="17" customHeight="1">
      <c r="B10" s="10" t="inlineStr">
        <is>
          <t>FCF ($M)</t>
        </is>
      </c>
      <c r="C10" s="59" t="n">
        <v>3021</v>
      </c>
      <c r="D10" s="59" t="n">
        <v>4229</v>
      </c>
      <c r="E10" s="59" t="n">
        <v>5754</v>
      </c>
      <c r="F10" s="59" t="n">
        <v>7452</v>
      </c>
      <c r="G10" s="59" t="n">
        <v>9479</v>
      </c>
    </row>
    <row r="11" ht="17" customHeight="1">
      <c r="B11" s="10" t="inlineStr">
        <is>
          <t>FCF Margin</t>
        </is>
      </c>
      <c r="C11" s="55" t="n">
        <v>0.195</v>
      </c>
      <c r="D11" s="55" t="n">
        <v>0.21</v>
      </c>
      <c r="E11" s="55" t="n">
        <v>0.225</v>
      </c>
      <c r="F11" s="55" t="n">
        <v>0.235</v>
      </c>
      <c r="G11" s="55" t="n">
        <v>0.245</v>
      </c>
    </row>
    <row r="12" ht="17" customHeight="1">
      <c r="B12" s="40" t="inlineStr">
        <is>
          <t>Implied Share Price</t>
        </is>
      </c>
      <c r="C12" s="73" t="n"/>
      <c r="D12" s="73" t="n"/>
      <c r="E12" s="74" t="n">
        <v>57.06</v>
      </c>
      <c r="F12" s="73" t="n"/>
      <c r="G12" s="75" t="inlineStr">
        <is>
          <t>Upside/(Downside) vs $103: -44.6%</t>
        </is>
      </c>
      <c r="H12" s="73" t="n"/>
      <c r="I12" s="73" t="n"/>
      <c r="J12" s="73" t="n"/>
    </row>
    <row r="14" ht="22" customHeight="1">
      <c r="B14" s="76" t="inlineStr">
        <is>
          <t>BASE CASE — Consensus estimates; FCF margin expansion 17.5→22%; GMV take-rate flat to modest improvement</t>
        </is>
      </c>
    </row>
    <row r="15">
      <c r="B15" s="7" t="inlineStr">
        <is>
          <t>Metric</t>
        </is>
      </c>
      <c r="C15" s="7" t="inlineStr">
        <is>
          <t>FY2026E</t>
        </is>
      </c>
      <c r="D15" s="7" t="inlineStr">
        <is>
          <t>FY2027E</t>
        </is>
      </c>
      <c r="E15" s="7" t="inlineStr">
        <is>
          <t>FY2028E</t>
        </is>
      </c>
      <c r="F15" s="7" t="inlineStr">
        <is>
          <t>FY2029E</t>
        </is>
      </c>
      <c r="G15" s="7" t="inlineStr">
        <is>
          <t>FY2030E</t>
        </is>
      </c>
    </row>
    <row r="16" ht="17" customHeight="1">
      <c r="B16" s="10" t="inlineStr">
        <is>
          <t>Revenue Growth</t>
        </is>
      </c>
      <c r="C16" s="55" t="n">
        <v>0.31</v>
      </c>
      <c r="D16" s="55" t="n">
        <v>0.26</v>
      </c>
      <c r="E16" s="55" t="n">
        <v>0.23</v>
      </c>
      <c r="F16" s="55" t="n">
        <v>0.21</v>
      </c>
      <c r="G16" s="55" t="n">
        <v>0.18</v>
      </c>
    </row>
    <row r="17" ht="17" customHeight="1">
      <c r="B17" s="10" t="inlineStr">
        <is>
          <t>Revenue ($M)</t>
        </is>
      </c>
      <c r="C17" s="59" t="n">
        <v>15144</v>
      </c>
      <c r="D17" s="59" t="n">
        <v>19081</v>
      </c>
      <c r="E17" s="59" t="n">
        <v>23470</v>
      </c>
      <c r="F17" s="59" t="n">
        <v>28398</v>
      </c>
      <c r="G17" s="59" t="n">
        <v>33510</v>
      </c>
    </row>
    <row r="18" ht="17" customHeight="1">
      <c r="B18" s="10" t="inlineStr">
        <is>
          <t>FCF ($M)</t>
        </is>
      </c>
      <c r="C18" s="59" t="n">
        <v>2650</v>
      </c>
      <c r="D18" s="59" t="n">
        <v>3625</v>
      </c>
      <c r="E18" s="59" t="n">
        <v>4811</v>
      </c>
      <c r="F18" s="59" t="n">
        <v>6106</v>
      </c>
      <c r="G18" s="59" t="n">
        <v>7372</v>
      </c>
    </row>
    <row r="19" ht="17" customHeight="1">
      <c r="B19" s="10" t="inlineStr">
        <is>
          <t>FCF Margin</t>
        </is>
      </c>
      <c r="C19" s="55" t="n">
        <v>0.175</v>
      </c>
      <c r="D19" s="55" t="n">
        <v>0.19</v>
      </c>
      <c r="E19" s="55" t="n">
        <v>0.205</v>
      </c>
      <c r="F19" s="55" t="n">
        <v>0.215</v>
      </c>
      <c r="G19" s="55" t="n">
        <v>0.22</v>
      </c>
    </row>
    <row r="20" ht="17" customHeight="1">
      <c r="B20" s="43" t="inlineStr">
        <is>
          <t>Implied Share Price</t>
        </is>
      </c>
      <c r="C20" s="77" t="n"/>
      <c r="D20" s="77" t="n"/>
      <c r="E20" s="78" t="n">
        <v>46.06</v>
      </c>
      <c r="F20" s="77" t="n"/>
      <c r="G20" s="79" t="inlineStr">
        <is>
          <t>Upside/(Downside) vs $103: -55.3%</t>
        </is>
      </c>
      <c r="H20" s="77" t="n"/>
      <c r="I20" s="77" t="n"/>
      <c r="J20" s="77" t="n"/>
    </row>
    <row r="22" ht="22" customHeight="1">
      <c r="B22" s="80" t="inlineStr">
        <is>
          <t>BEAR CASE — Growth deceleration (macro headwinds + competition); FCF margin pressured; tariff impact on SMB base</t>
        </is>
      </c>
    </row>
    <row r="23">
      <c r="B23" s="7" t="inlineStr">
        <is>
          <t>Metric</t>
        </is>
      </c>
      <c r="C23" s="7" t="inlineStr">
        <is>
          <t>FY2026E</t>
        </is>
      </c>
      <c r="D23" s="7" t="inlineStr">
        <is>
          <t>FY2027E</t>
        </is>
      </c>
      <c r="E23" s="7" t="inlineStr">
        <is>
          <t>FY2028E</t>
        </is>
      </c>
      <c r="F23" s="7" t="inlineStr">
        <is>
          <t>FY2029E</t>
        </is>
      </c>
      <c r="G23" s="7" t="inlineStr">
        <is>
          <t>FY2030E</t>
        </is>
      </c>
    </row>
    <row r="24" ht="17" customHeight="1">
      <c r="B24" s="10" t="inlineStr">
        <is>
          <t>Revenue Growth</t>
        </is>
      </c>
      <c r="C24" s="55" t="n">
        <v>0.25</v>
      </c>
      <c r="D24" s="55" t="n">
        <v>0.2</v>
      </c>
      <c r="E24" s="55" t="n">
        <v>0.17</v>
      </c>
      <c r="F24" s="55" t="n">
        <v>0.14</v>
      </c>
      <c r="G24" s="55" t="n">
        <v>0.12</v>
      </c>
    </row>
    <row r="25" ht="17" customHeight="1">
      <c r="B25" s="10" t="inlineStr">
        <is>
          <t>Revenue ($M)</t>
        </is>
      </c>
      <c r="C25" s="59" t="n">
        <v>14450</v>
      </c>
      <c r="D25" s="59" t="n">
        <v>17340</v>
      </c>
      <c r="E25" s="59" t="n">
        <v>20288</v>
      </c>
      <c r="F25" s="59" t="n">
        <v>23128</v>
      </c>
      <c r="G25" s="59" t="n">
        <v>25903</v>
      </c>
    </row>
    <row r="26" ht="17" customHeight="1">
      <c r="B26" s="10" t="inlineStr">
        <is>
          <t>FCF ($M)</t>
        </is>
      </c>
      <c r="C26" s="59" t="n">
        <v>2023</v>
      </c>
      <c r="D26" s="59" t="n">
        <v>2688</v>
      </c>
      <c r="E26" s="59" t="n">
        <v>3408</v>
      </c>
      <c r="F26" s="59" t="n">
        <v>4047</v>
      </c>
      <c r="G26" s="59" t="n">
        <v>4714</v>
      </c>
    </row>
    <row r="27" ht="17" customHeight="1">
      <c r="B27" s="10" t="inlineStr">
        <is>
          <t>FCF Margin</t>
        </is>
      </c>
      <c r="C27" s="55" t="n">
        <v>0.14</v>
      </c>
      <c r="D27" s="55" t="n">
        <v>0.155</v>
      </c>
      <c r="E27" s="55" t="n">
        <v>0.168</v>
      </c>
      <c r="F27" s="55" t="n">
        <v>0.175</v>
      </c>
      <c r="G27" s="55" t="n">
        <v>0.182</v>
      </c>
    </row>
    <row r="28" ht="17" customHeight="1">
      <c r="B28" s="46" t="inlineStr">
        <is>
          <t>Implied Share Price</t>
        </is>
      </c>
      <c r="C28" s="81" t="n"/>
      <c r="D28" s="81" t="n"/>
      <c r="E28" s="82" t="n">
        <v>31.68</v>
      </c>
      <c r="F28" s="81" t="n"/>
      <c r="G28" s="83" t="inlineStr">
        <is>
          <t>Upside/(Downside) vs $103: -69.2%</t>
        </is>
      </c>
      <c r="H28" s="81" t="n"/>
      <c r="I28" s="81" t="n"/>
      <c r="J28" s="81" t="n"/>
    </row>
    <row r="30" ht="20" customHeight="1">
      <c r="B30" s="49" t="inlineStr">
        <is>
          <t>SENSITIVITY: WACC vs Terminal Growth Rate → Implied Share Price ($)</t>
        </is>
      </c>
    </row>
    <row r="31">
      <c r="B31" s="84" t="inlineStr">
        <is>
          <t>TGR \ WACC</t>
        </is>
      </c>
      <c r="C31" s="84" t="inlineStr">
        <is>
          <t>11.49%</t>
        </is>
      </c>
      <c r="D31" s="84" t="inlineStr">
        <is>
          <t>12.49%</t>
        </is>
      </c>
      <c r="E31" s="84" t="inlineStr">
        <is>
          <t>13.49%</t>
        </is>
      </c>
      <c r="F31" s="84" t="inlineStr">
        <is>
          <t>14.49%</t>
        </is>
      </c>
      <c r="G31" s="84" t="inlineStr">
        <is>
          <t>15.49%</t>
        </is>
      </c>
    </row>
    <row r="32" ht="17" customHeight="1">
      <c r="B32" s="85" t="inlineStr">
        <is>
          <t>1.0%</t>
        </is>
      </c>
      <c r="C32" s="86" t="n">
        <v>48.88</v>
      </c>
      <c r="D32" s="86" t="n">
        <v>44.5</v>
      </c>
      <c r="E32" s="86" t="n">
        <v>40.84</v>
      </c>
      <c r="F32" s="86" t="n">
        <v>37.73</v>
      </c>
      <c r="G32" s="86" t="n">
        <v>35.06</v>
      </c>
    </row>
    <row r="33" ht="17" customHeight="1">
      <c r="B33" s="85" t="inlineStr">
        <is>
          <t>1.5%</t>
        </is>
      </c>
      <c r="C33" s="86" t="n">
        <v>50.63</v>
      </c>
      <c r="D33" s="86" t="n">
        <v>45.9</v>
      </c>
      <c r="E33" s="86" t="n">
        <v>41.97</v>
      </c>
      <c r="F33" s="86" t="n">
        <v>38.67</v>
      </c>
      <c r="G33" s="86" t="n">
        <v>35.85</v>
      </c>
    </row>
    <row r="34" ht="17" customHeight="1">
      <c r="B34" s="85" t="inlineStr">
        <is>
          <t>2.0%</t>
        </is>
      </c>
      <c r="C34" s="86" t="n">
        <v>52.56</v>
      </c>
      <c r="D34" s="86" t="n">
        <v>47.43</v>
      </c>
      <c r="E34" s="86" t="n">
        <v>43.21</v>
      </c>
      <c r="F34" s="86" t="n">
        <v>39.68</v>
      </c>
      <c r="G34" s="86" t="n">
        <v>36.69</v>
      </c>
    </row>
    <row r="35" ht="17" customHeight="1">
      <c r="B35" s="85" t="inlineStr">
        <is>
          <t>2.5%</t>
        </is>
      </c>
      <c r="C35" s="86" t="n">
        <v>54.7</v>
      </c>
      <c r="D35" s="86" t="n">
        <v>49.11</v>
      </c>
      <c r="E35" s="86" t="n">
        <v>44.56</v>
      </c>
      <c r="F35" s="86" t="n">
        <v>40.78</v>
      </c>
      <c r="G35" s="86" t="n">
        <v>37.59</v>
      </c>
    </row>
    <row r="36" ht="17" customHeight="1">
      <c r="B36" s="85" t="inlineStr">
        <is>
          <t>3.0%</t>
        </is>
      </c>
      <c r="C36" s="86" t="n">
        <v>57.09</v>
      </c>
      <c r="D36" s="86" t="n">
        <v>50.97</v>
      </c>
      <c r="E36" s="87" t="n">
        <v>46.03</v>
      </c>
      <c r="F36" s="86" t="n">
        <v>41.97</v>
      </c>
      <c r="G36" s="86" t="n">
        <v>38.57</v>
      </c>
    </row>
  </sheetData>
  <mergeCells count="5">
    <mergeCell ref="B30:L30"/>
    <mergeCell ref="B22:J22"/>
    <mergeCell ref="B14:J14"/>
    <mergeCell ref="B6:J6"/>
    <mergeCell ref="B2:N3"/>
  </mergeCells>
  <conditionalFormatting sqref="C32:G3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5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32" customWidth="1" min="10" max="10"/>
  </cols>
  <sheetData>
    <row r="2">
      <c r="B2" s="26" t="inlineStr">
        <is>
          <t>SHOPIFY — COMPARABLE COMPANIES ANALYSIS</t>
        </is>
      </c>
    </row>
    <row r="3"/>
    <row r="4">
      <c r="B4" s="27" t="inlineStr">
        <is>
          <t>Market data as of May 23, 2026. NTM estimates from consensus.</t>
        </is>
      </c>
    </row>
    <row r="6" ht="30" customHeight="1">
      <c r="B6" s="26" t="inlineStr">
        <is>
          <t>Company</t>
        </is>
      </c>
      <c r="C6" s="26" t="inlineStr">
        <is>
          <t>Ticker</t>
        </is>
      </c>
      <c r="D6" s="26" t="inlineStr">
        <is>
          <t>Mkt Cap ($B)</t>
        </is>
      </c>
      <c r="E6" s="26" t="inlineStr">
        <is>
          <t>P/E (LTM)</t>
        </is>
      </c>
      <c r="F6" s="26" t="inlineStr">
        <is>
          <t>EV/EBITDA
(LTM)</t>
        </is>
      </c>
      <c r="G6" s="26" t="inlineStr">
        <is>
          <t>P/S (LTM)</t>
        </is>
      </c>
      <c r="H6" s="26" t="inlineStr">
        <is>
          <t>Rev Growth
(LTM)</t>
        </is>
      </c>
      <c r="I6" s="26" t="inlineStr">
        <is>
          <t>FCF Margin
(LTM)</t>
        </is>
      </c>
      <c r="J6" s="26" t="inlineStr">
        <is>
          <t>Rating
(Implied)</t>
        </is>
      </c>
    </row>
    <row r="7" ht="17" customHeight="1">
      <c r="B7" s="58" t="inlineStr">
        <is>
          <t>Amazon</t>
        </is>
      </c>
      <c r="C7" s="88" t="inlineStr">
        <is>
          <t>AMZN</t>
        </is>
      </c>
      <c r="D7" s="89" t="n">
        <v>2865</v>
      </c>
      <c r="E7" s="90" t="n">
        <v>32.2</v>
      </c>
      <c r="F7" s="90" t="n">
        <v>17.2</v>
      </c>
      <c r="G7" s="90" t="n">
        <v>3.5</v>
      </c>
      <c r="H7" s="51" t="n">
        <v>0.11</v>
      </c>
      <c r="I7" s="51" t="n">
        <v>0.14</v>
      </c>
      <c r="J7" s="50" t="n"/>
    </row>
    <row r="8" ht="17" customHeight="1">
      <c r="B8" s="30" t="inlineStr">
        <is>
          <t>Adobe</t>
        </is>
      </c>
      <c r="C8" s="91" t="inlineStr">
        <is>
          <t>ADBE</t>
        </is>
      </c>
      <c r="D8" s="92" t="n">
        <v>99</v>
      </c>
      <c r="E8" s="93" t="n">
        <v>19.2</v>
      </c>
      <c r="F8" s="93" t="n">
        <v>13.9</v>
      </c>
      <c r="G8" s="93" t="n">
        <v>5.6</v>
      </c>
      <c r="H8" s="53" t="n">
        <v>0.09</v>
      </c>
      <c r="I8" s="53" t="n">
        <v>0.35</v>
      </c>
    </row>
    <row r="9" ht="17" customHeight="1">
      <c r="B9" s="58" t="inlineStr">
        <is>
          <t>Salesforce</t>
        </is>
      </c>
      <c r="C9" s="88" t="inlineStr">
        <is>
          <t>CRM</t>
        </is>
      </c>
      <c r="D9" s="89" t="n">
        <v>171</v>
      </c>
      <c r="E9" s="90" t="n">
        <v>27.2</v>
      </c>
      <c r="F9" s="90" t="n">
        <v>14.4</v>
      </c>
      <c r="G9" s="90" t="n">
        <v>4.7</v>
      </c>
      <c r="H9" s="51" t="n">
        <v>0.08</v>
      </c>
      <c r="I9" s="51" t="n">
        <v>0.3</v>
      </c>
      <c r="J9" s="50" t="n"/>
    </row>
    <row r="10" ht="17" customHeight="1">
      <c r="B10" s="30" t="inlineStr">
        <is>
          <t>Block</t>
        </is>
      </c>
      <c r="C10" s="91" t="inlineStr">
        <is>
          <t>SQ</t>
        </is>
      </c>
      <c r="D10" s="92" t="n">
        <v>52</v>
      </c>
      <c r="E10" s="93" t="n">
        <v>50</v>
      </c>
      <c r="F10" s="93" t="n">
        <v>22</v>
      </c>
      <c r="G10" s="93" t="n">
        <v>2</v>
      </c>
      <c r="H10" s="53" t="n">
        <v>0.14</v>
      </c>
      <c r="I10" s="53" t="n">
        <v>0.09</v>
      </c>
    </row>
    <row r="11" ht="17" customHeight="1">
      <c r="B11" s="58" t="inlineStr">
        <is>
          <t>MercadoLibre</t>
        </is>
      </c>
      <c r="C11" s="88" t="inlineStr">
        <is>
          <t>MELI</t>
        </is>
      </c>
      <c r="D11" s="89" t="n">
        <v>84</v>
      </c>
      <c r="E11" s="90" t="n">
        <v>51.1</v>
      </c>
      <c r="F11" s="90" t="n">
        <v>25.4</v>
      </c>
      <c r="G11" s="90" t="n">
        <v>3.5</v>
      </c>
      <c r="H11" s="51" t="n">
        <v>0.26</v>
      </c>
      <c r="I11" s="51" t="n">
        <v>0.15</v>
      </c>
      <c r="J11" s="50" t="n"/>
    </row>
    <row r="12" ht="17" customHeight="1">
      <c r="B12" s="30" t="inlineStr">
        <is>
          <t>Sea Limited</t>
        </is>
      </c>
      <c r="C12" s="91" t="inlineStr">
        <is>
          <t>SE</t>
        </is>
      </c>
      <c r="D12" s="92" t="n">
        <v>53</v>
      </c>
      <c r="E12" s="93" t="n">
        <v>50.6</v>
      </c>
      <c r="F12" s="93" t="n">
        <v>29.3</v>
      </c>
      <c r="G12" s="93" t="n">
        <v>3.4</v>
      </c>
      <c r="H12" s="53" t="n">
        <v>0.18</v>
      </c>
      <c r="I12" s="53" t="n">
        <v>0.14</v>
      </c>
    </row>
    <row r="13" ht="17" customHeight="1">
      <c r="B13" s="58" t="inlineStr">
        <is>
          <t>Twilio</t>
        </is>
      </c>
      <c r="C13" s="88" t="inlineStr">
        <is>
          <t>TWLO</t>
        </is>
      </c>
      <c r="D13" s="89" t="n">
        <v>29</v>
      </c>
      <c r="E13" s="94" t="inlineStr">
        <is>
          <t>N/M</t>
        </is>
      </c>
      <c r="F13" s="90" t="n">
        <v>57.3</v>
      </c>
      <c r="G13" s="90" t="n">
        <v>4.3</v>
      </c>
      <c r="H13" s="51" t="n">
        <v>0.1</v>
      </c>
      <c r="I13" s="51" t="n">
        <v>0.18</v>
      </c>
      <c r="J13" s="50" t="n"/>
    </row>
    <row r="14" ht="17" customHeight="1">
      <c r="B14" s="30" t="inlineStr">
        <is>
          <t>Wix</t>
        </is>
      </c>
      <c r="C14" s="91" t="inlineStr">
        <is>
          <t>WIX</t>
        </is>
      </c>
      <c r="D14" s="92" t="n">
        <v>3</v>
      </c>
      <c r="E14" s="93" t="n">
        <v>118.1</v>
      </c>
      <c r="F14" s="95" t="inlineStr">
        <is>
          <t>N/M</t>
        </is>
      </c>
      <c r="G14" s="93" t="n">
        <v>2.9</v>
      </c>
      <c r="H14" s="53" t="n">
        <v>0.11</v>
      </c>
      <c r="I14" s="53" t="n">
        <v>0.08</v>
      </c>
    </row>
    <row r="15" ht="17" customHeight="1">
      <c r="B15" s="35" t="inlineStr">
        <is>
          <t>Median</t>
        </is>
      </c>
      <c r="C15" s="66" t="n"/>
      <c r="D15" s="66" t="n"/>
      <c r="E15" s="96" t="n">
        <v>50</v>
      </c>
      <c r="F15" s="96" t="n">
        <v>22</v>
      </c>
      <c r="G15" s="96" t="n">
        <v>3.5</v>
      </c>
      <c r="H15" s="66" t="n"/>
      <c r="I15" s="66" t="n"/>
      <c r="J15" s="66" t="n"/>
    </row>
    <row r="16" ht="17" customHeight="1">
      <c r="B16" s="35" t="inlineStr">
        <is>
          <t>Mean</t>
        </is>
      </c>
      <c r="C16" s="66" t="n"/>
      <c r="D16" s="66" t="n"/>
      <c r="E16" s="96" t="n">
        <v>49.8</v>
      </c>
      <c r="F16" s="96" t="n">
        <v>25.6</v>
      </c>
      <c r="G16" s="96" t="n">
        <v>3.7</v>
      </c>
      <c r="H16" s="66" t="n"/>
      <c r="I16" s="66" t="n"/>
      <c r="J16" s="66" t="n"/>
    </row>
    <row r="17" ht="17" customHeight="1">
      <c r="B17" s="35" t="inlineStr">
        <is>
          <t>25th Pctile</t>
        </is>
      </c>
      <c r="C17" s="66" t="n"/>
      <c r="D17" s="66" t="n"/>
      <c r="E17" s="96" t="n">
        <v>29.7</v>
      </c>
      <c r="F17" s="96" t="n">
        <v>15.8</v>
      </c>
      <c r="G17" s="96" t="n">
        <v>3.3</v>
      </c>
      <c r="H17" s="66" t="n"/>
      <c r="I17" s="66" t="n"/>
      <c r="J17" s="66" t="n"/>
    </row>
    <row r="18" ht="17" customHeight="1">
      <c r="B18" s="35" t="inlineStr">
        <is>
          <t>75th Pctile</t>
        </is>
      </c>
      <c r="C18" s="66" t="n"/>
      <c r="D18" s="66" t="n"/>
      <c r="E18" s="96" t="n">
        <v>50.8</v>
      </c>
      <c r="F18" s="96" t="n">
        <v>27.4</v>
      </c>
      <c r="G18" s="96" t="n">
        <v>4.4</v>
      </c>
      <c r="H18" s="66" t="n"/>
      <c r="I18" s="66" t="n"/>
      <c r="J18" s="66" t="n"/>
    </row>
    <row r="20">
      <c r="B20" s="49" t="inlineStr">
        <is>
          <t>SHOPIFY IMPLIED VALUATION FROM COMPS</t>
        </is>
      </c>
    </row>
    <row r="21" ht="17" customHeight="1">
      <c r="B21" s="30" t="inlineStr">
        <is>
          <t>SHOP at Peer Median P/S (3.5x NTM Rev $15.1B)</t>
        </is>
      </c>
      <c r="H21" s="97" t="n">
        <v>44.9</v>
      </c>
      <c r="I21" s="27" t="inlineStr">
        <is>
          <t>Peers trade at 3.5x median; SHOP deserves premium</t>
        </is>
      </c>
    </row>
    <row r="22" ht="17" customHeight="1">
      <c r="B22" s="30" t="inlineStr">
        <is>
          <t>SHOP at Premium P/S (5.5x NTM Rev $15.1B)</t>
        </is>
      </c>
      <c r="H22" s="97" t="n">
        <v>68.11</v>
      </c>
      <c r="I22" s="27" t="inlineStr">
        <is>
          <t>Justified by superior growth (31% vs. 11% median)</t>
        </is>
      </c>
    </row>
    <row r="23" ht="17" customHeight="1">
      <c r="B23" s="30" t="inlineStr">
        <is>
          <t>SHOP at Peer Median EV/EBITDA (22x NTM $2.4B)</t>
        </is>
      </c>
      <c r="H23" s="97" t="n">
        <v>45.13</v>
      </c>
      <c r="I23" s="27" t="inlineStr">
        <is>
          <t>NTM EBITDA ~$2,423M at 16% margin</t>
        </is>
      </c>
    </row>
    <row r="24" ht="17" customHeight="1">
      <c r="B24" s="30" t="inlineStr">
        <is>
          <t>SHOP at Peer Median P/E (50x NTM EPS $1.86)</t>
        </is>
      </c>
      <c r="H24" s="97" t="n">
        <v>93</v>
      </c>
      <c r="I24" s="27" t="inlineStr">
        <is>
          <t>Excluded from PT: GAAP EPS distorted by SBC</t>
        </is>
      </c>
    </row>
    <row r="25" ht="17" customHeight="1">
      <c r="B25" s="30" t="inlineStr">
        <is>
          <t>Current Price</t>
        </is>
      </c>
      <c r="H25" s="97" t="n">
        <v>103</v>
      </c>
      <c r="I25" s="27" t="inlineStr">
        <is>
          <t>Implies ~17x NTM Revenue</t>
        </is>
      </c>
    </row>
  </sheetData>
  <mergeCells count="2">
    <mergeCell ref="B2:L3"/>
    <mergeCell ref="B20:J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43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5" customWidth="1" min="2" max="2"/>
    <col width="35" customWidth="1" min="3" max="3"/>
    <col width="18" customWidth="1" min="4" max="4"/>
    <col width="15" customWidth="1" min="5" max="5"/>
    <col width="22" customWidth="1" min="6" max="6"/>
    <col width="32" customWidth="1" min="7" max="7"/>
    <col width="50" customWidth="1" min="8" max="8"/>
  </cols>
  <sheetData>
    <row r="2">
      <c r="B2" s="26" t="inlineStr">
        <is>
          <t>SHOPIFY — INVESTMENT THESIS TRACKER</t>
        </is>
      </c>
    </row>
    <row r="3"/>
    <row r="4">
      <c r="B4" s="27" t="inlineStr">
        <is>
          <t>Thesis Pillars | Risks | Catalysts | KPIs to Monitor</t>
        </is>
      </c>
    </row>
    <row r="6">
      <c r="B6" s="49" t="inlineStr">
        <is>
          <t>I. THESIS PILLARS</t>
        </is>
      </c>
    </row>
    <row r="7" ht="20" customHeight="1">
      <c r="B7" s="26" t="inlineStr">
        <is>
          <t>#</t>
        </is>
      </c>
      <c r="C7" s="26" t="inlineStr">
        <is>
          <t>Pillar</t>
        </is>
      </c>
      <c r="D7" s="26" t="inlineStr">
        <is>
          <t>Evidence / Metrics</t>
        </is>
      </c>
      <c r="E7" s="26" t="inlineStr">
        <is>
          <t>Status</t>
        </is>
      </c>
      <c r="F7" s="26" t="inlineStr">
        <is>
          <t>Bull Condition</t>
        </is>
      </c>
      <c r="G7" s="26" t="inlineStr">
        <is>
          <t>Bear Condition</t>
        </is>
      </c>
    </row>
    <row r="8" ht="40" customHeight="1">
      <c r="B8" s="98" t="inlineStr">
        <is>
          <t>P1</t>
        </is>
      </c>
      <c r="C8" s="99" t="inlineStr">
        <is>
          <t>Commerce OS Network Effect</t>
        </is>
      </c>
      <c r="D8" s="100" t="inlineStr">
        <is>
          <t>4.8M active merchants; 29% US share; 45% global ecomm platform share</t>
        </is>
      </c>
      <c r="E8" s="101" t="inlineStr">
        <is>
          <t>INTACT</t>
        </is>
      </c>
      <c r="F8" s="102" t="inlineStr">
        <is>
          <t>5M+ merchants; 32%+ US share</t>
        </is>
      </c>
      <c r="G8" s="103" t="inlineStr">
        <is>
          <t>SMB churn accelerates; market share loss to BigCommerce/WooCommerce</t>
        </is>
      </c>
      <c r="H8" s="50" t="n"/>
      <c r="I8" s="50" t="n"/>
      <c r="J8" s="50" t="n"/>
    </row>
    <row r="9" ht="40" customHeight="1">
      <c r="B9" s="104" t="inlineStr">
        <is>
          <t>P2</t>
        </is>
      </c>
      <c r="C9" s="105" t="inlineStr">
        <is>
          <t>Payments &amp; FinTech Flywheel</t>
        </is>
      </c>
      <c r="D9" s="106" t="inlineStr">
        <is>
          <t>Payments penetration 64% of GMV; Shop Pay processed $57B+ Q1 2025; +57% YoY</t>
        </is>
      </c>
      <c r="E9" s="101" t="inlineStr">
        <is>
          <t>INTACT</t>
        </is>
      </c>
      <c r="F9" s="107" t="inlineStr">
        <is>
          <t>Penetration &gt;70% GMV; take-rate expansion +10bps</t>
        </is>
      </c>
      <c r="G9" s="108" t="inlineStr">
        <is>
          <t>PayPal/Stripe reclaim share; regulatory changes on BNPL</t>
        </is>
      </c>
    </row>
    <row r="10" ht="40" customHeight="1">
      <c r="B10" s="98" t="inlineStr">
        <is>
          <t>P3</t>
        </is>
      </c>
      <c r="C10" s="99" t="inlineStr">
        <is>
          <t>FCF Margin Expansion</t>
        </is>
      </c>
      <c r="D10" s="100" t="inlineStr">
        <is>
          <t>FCF margin: 17.4% FY2025; target 20%+ by FY2028; SBC dilution declining</t>
        </is>
      </c>
      <c r="E10" s="109" t="inlineStr">
        <is>
          <t>DEVELOPING</t>
        </is>
      </c>
      <c r="F10" s="102" t="inlineStr">
        <is>
          <t>FCF margin &gt;20% with declining SBC/rev %</t>
        </is>
      </c>
      <c r="G10" s="103" t="inlineStr">
        <is>
          <t>Continued heavy AI/infra investment keeps margins below 15%</t>
        </is>
      </c>
      <c r="H10" s="50" t="n"/>
      <c r="I10" s="50" t="n"/>
      <c r="J10" s="50" t="n"/>
    </row>
    <row r="11" ht="40" customHeight="1">
      <c r="B11" s="104" t="inlineStr">
        <is>
          <t>P4</t>
        </is>
      </c>
      <c r="C11" s="105" t="inlineStr">
        <is>
          <t>Enterprise / B2B Penetration</t>
        </is>
      </c>
      <c r="D11" s="106" t="inlineStr">
        <is>
          <t>Shopify Plus growing; B2B GMV +84% YoY FY2025; offline GMV $748M</t>
        </is>
      </c>
      <c r="E11" s="109" t="inlineStr">
        <is>
          <t>DEVELOPING</t>
        </is>
      </c>
      <c r="F11" s="107" t="inlineStr">
        <is>
          <t>Enterprise accounts &gt;20% of MRR; B2B GMV doubles again</t>
        </is>
      </c>
      <c r="G11" s="108" t="inlineStr">
        <is>
          <t>Enterprise stalls below 15% MRR; Adobe/Salesforce Commerce win deals</t>
        </is>
      </c>
    </row>
    <row r="12" ht="40" customHeight="1">
      <c r="B12" s="98" t="inlineStr">
        <is>
          <t>P5</t>
        </is>
      </c>
      <c r="C12" s="99" t="inlineStr">
        <is>
          <t>International Expansion</t>
        </is>
      </c>
      <c r="D12" s="100" t="inlineStr">
        <is>
          <t>Intl revenue +36% YoY FY2025; ~50% of merchant base outside N. America</t>
        </is>
      </c>
      <c r="E12" s="101" t="inlineStr">
        <is>
          <t>INTACT</t>
        </is>
      </c>
      <c r="F12" s="102" t="inlineStr">
        <is>
          <t>International rev &gt;45% of total; EMEA/APAC GMV &gt;$150B</t>
        </is>
      </c>
      <c r="G12" s="103" t="inlineStr">
        <is>
          <t>FX headwinds reduce reported growth; LATAM macro deterioration</t>
        </is>
      </c>
      <c r="H12" s="50" t="n"/>
      <c r="I12" s="50" t="n"/>
      <c r="J12" s="50" t="n"/>
    </row>
    <row r="14">
      <c r="B14" s="110" t="inlineStr">
        <is>
          <t>II. KEY RISKS</t>
        </is>
      </c>
    </row>
    <row r="15" ht="20" customHeight="1">
      <c r="B15" s="111" t="inlineStr">
        <is>
          <t>#</t>
        </is>
      </c>
      <c r="C15" s="111" t="inlineStr">
        <is>
          <t>Risk Factor</t>
        </is>
      </c>
      <c r="D15" s="111" t="inlineStr">
        <is>
          <t>Probability</t>
        </is>
      </c>
      <c r="E15" s="111" t="inlineStr">
        <is>
          <t>Severity</t>
        </is>
      </c>
      <c r="F15" s="111" t="inlineStr">
        <is>
          <t>EPS Impact</t>
        </is>
      </c>
      <c r="G15" s="111" t="inlineStr">
        <is>
          <t>Mitigant</t>
        </is>
      </c>
    </row>
    <row r="16" ht="35" customHeight="1">
      <c r="B16" s="112" t="inlineStr">
        <is>
          <t>R1</t>
        </is>
      </c>
      <c r="C16" s="113" t="inlineStr">
        <is>
          <t>Macro Slowdown → SMB Spending</t>
        </is>
      </c>
      <c r="D16" s="114" t="inlineStr">
        <is>
          <t>Medium</t>
        </is>
      </c>
      <c r="E16" s="115" t="inlineStr">
        <is>
          <t>High</t>
        </is>
      </c>
      <c r="F16" s="116" t="inlineStr">
        <is>
          <t>-20 to -30%</t>
        </is>
      </c>
      <c r="G16" s="117" t="inlineStr">
        <is>
          <t>Diversification into enterprise/Plus; B2B GMV less cyclical</t>
        </is>
      </c>
      <c r="H16" s="118" t="n"/>
      <c r="I16" s="118" t="n"/>
      <c r="J16" s="118" t="n"/>
    </row>
    <row r="17" ht="35" customHeight="1">
      <c r="B17" s="104" t="inlineStr">
        <is>
          <t>R2</t>
        </is>
      </c>
      <c r="C17" s="106" t="inlineStr">
        <is>
          <t>Competitive Pressure (BigCommerce, WooCommerce, TikTok Shop)</t>
        </is>
      </c>
      <c r="D17" s="119" t="inlineStr">
        <is>
          <t>Medium</t>
        </is>
      </c>
      <c r="E17" s="120" t="inlineStr">
        <is>
          <t>Medium</t>
        </is>
      </c>
      <c r="F17" s="121" t="inlineStr">
        <is>
          <t>-5 to -10%</t>
        </is>
      </c>
      <c r="G17" s="122" t="inlineStr">
        <is>
          <t>Network effects + 45%+ global platform share; switching costs</t>
        </is>
      </c>
    </row>
    <row r="18" ht="35" customHeight="1">
      <c r="B18" s="112" t="inlineStr">
        <is>
          <t>R3</t>
        </is>
      </c>
      <c r="C18" s="113" t="inlineStr">
        <is>
          <t>Payments Margin Compression (PayPal/Stripe partnership costs)</t>
        </is>
      </c>
      <c r="D18" s="114" t="inlineStr">
        <is>
          <t>High</t>
        </is>
      </c>
      <c r="E18" s="115" t="inlineStr">
        <is>
          <t>Medium</t>
        </is>
      </c>
      <c r="F18" s="116" t="inlineStr">
        <is>
          <t>-8 to -15%</t>
        </is>
      </c>
      <c r="G18" s="117" t="inlineStr">
        <is>
          <t>Long-term partnership economics; volume scale reduces per-unit cost</t>
        </is>
      </c>
      <c r="H18" s="118" t="n"/>
      <c r="I18" s="118" t="n"/>
      <c r="J18" s="118" t="n"/>
    </row>
    <row r="19" ht="35" customHeight="1">
      <c r="B19" s="104" t="inlineStr">
        <is>
          <t>R4</t>
        </is>
      </c>
      <c r="C19" s="106" t="inlineStr">
        <is>
          <t>Valuation Re-rating (growth deceleration)</t>
        </is>
      </c>
      <c r="D19" s="119" t="inlineStr">
        <is>
          <t>High</t>
        </is>
      </c>
      <c r="E19" s="120" t="inlineStr">
        <is>
          <t>Very High</t>
        </is>
      </c>
      <c r="F19" s="121" t="inlineStr">
        <is>
          <t>-40 to -60%</t>
        </is>
      </c>
      <c r="G19" s="122" t="inlineStr">
        <is>
          <t>Monitor GMV growth; PT $64 implies significant current overvaluation</t>
        </is>
      </c>
    </row>
    <row r="20" ht="35" customHeight="1">
      <c r="B20" s="112" t="inlineStr">
        <is>
          <t>R5</t>
        </is>
      </c>
      <c r="C20" s="113" t="inlineStr">
        <is>
          <t>FX Headwinds (~50% of merchants outside N. America)</t>
        </is>
      </c>
      <c r="D20" s="114" t="inlineStr">
        <is>
          <t>Medium</t>
        </is>
      </c>
      <c r="E20" s="115" t="inlineStr">
        <is>
          <t>Low</t>
        </is>
      </c>
      <c r="F20" s="116" t="inlineStr">
        <is>
          <t>-3 to -5%</t>
        </is>
      </c>
      <c r="G20" s="117" t="inlineStr">
        <is>
          <t>FX hedging strategy; local currency pricing expansion</t>
        </is>
      </c>
      <c r="H20" s="118" t="n"/>
      <c r="I20" s="118" t="n"/>
      <c r="J20" s="118" t="n"/>
    </row>
    <row r="21" ht="35" customHeight="1">
      <c r="B21" s="104" t="inlineStr">
        <is>
          <t>R6</t>
        </is>
      </c>
      <c r="C21" s="106" t="inlineStr">
        <is>
          <t>SBC Dilution (~3.9% of revenue)</t>
        </is>
      </c>
      <c r="D21" s="119" t="inlineStr">
        <is>
          <t>Ongoing</t>
        </is>
      </c>
      <c r="E21" s="120" t="inlineStr">
        <is>
          <t>Medium</t>
        </is>
      </c>
      <c r="F21" s="121" t="inlineStr">
        <is>
          <t>-3 to -5% share dilution/yr</t>
        </is>
      </c>
      <c r="G21" s="122" t="inlineStr">
        <is>
          <t>Monitor SBC/revenue trend; $2B buyback program partially offsets</t>
        </is>
      </c>
    </row>
    <row r="22" ht="35" customHeight="1">
      <c r="B22" s="112" t="inlineStr">
        <is>
          <t>R7</t>
        </is>
      </c>
      <c r="C22" s="113" t="inlineStr">
        <is>
          <t>AI-Native Commerce Disruption</t>
        </is>
      </c>
      <c r="D22" s="114" t="inlineStr">
        <is>
          <t>Low (2yr) → High (5yr)</t>
        </is>
      </c>
      <c r="E22" s="115" t="inlineStr">
        <is>
          <t>High</t>
        </is>
      </c>
      <c r="F22" s="116" t="inlineStr">
        <is>
          <t>Unknown</t>
        </is>
      </c>
      <c r="G22" s="117" t="inlineStr">
        <is>
          <t>Shopify already embedding AI; ChatGPT/Copilot integrations</t>
        </is>
      </c>
      <c r="H22" s="118" t="n"/>
      <c r="I22" s="118" t="n"/>
      <c r="J22" s="118" t="n"/>
    </row>
    <row r="24">
      <c r="B24" s="123" t="inlineStr">
        <is>
          <t>III. CATALYSTS TO WATCH</t>
        </is>
      </c>
    </row>
    <row r="25" ht="20" customHeight="1">
      <c r="B25" s="124" t="inlineStr">
        <is>
          <t>#</t>
        </is>
      </c>
      <c r="C25" s="124" t="inlineStr">
        <is>
          <t>Catalyst</t>
        </is>
      </c>
      <c r="D25" s="124" t="inlineStr">
        <is>
          <t>Timeline</t>
        </is>
      </c>
      <c r="E25" s="124" t="inlineStr">
        <is>
          <t>Potential Impact</t>
        </is>
      </c>
      <c r="F25" s="124" t="inlineStr">
        <is>
          <t>Trigger Condition</t>
        </is>
      </c>
      <c r="G25" s="124" t="inlineStr">
        <is>
          <t>Tracking Metric</t>
        </is>
      </c>
    </row>
    <row r="26" ht="35" customHeight="1">
      <c r="B26" s="125" t="inlineStr">
        <is>
          <t>C1</t>
        </is>
      </c>
      <c r="C26" s="126" t="inlineStr">
        <is>
          <t>Q1 2026 Earnings Beat + Q2 Guidance Above Consensus</t>
        </is>
      </c>
      <c r="D26" s="127" t="inlineStr">
        <is>
          <t>0–3 months</t>
        </is>
      </c>
      <c r="E26" s="128" t="inlineStr">
        <is>
          <t>+10–15%</t>
        </is>
      </c>
      <c r="F26" s="129" t="inlineStr">
        <is>
          <t>Rev &gt;$3.1B + GMV &gt;$100B</t>
        </is>
      </c>
      <c r="G26" s="130" t="inlineStr">
        <is>
          <t>Q1 earnings release (May 5, 2026 — already reported 34% growth)</t>
        </is>
      </c>
      <c r="H26" s="131" t="n"/>
      <c r="I26" s="131" t="n"/>
      <c r="J26" s="131" t="n"/>
    </row>
    <row r="27" ht="35" customHeight="1">
      <c r="B27" s="104" t="inlineStr">
        <is>
          <t>C2</t>
        </is>
      </c>
      <c r="C27" s="106" t="inlineStr">
        <is>
          <t>Payments Penetration &gt;70% of GMV</t>
        </is>
      </c>
      <c r="D27" s="132" t="inlineStr">
        <is>
          <t>3–9 months</t>
        </is>
      </c>
      <c r="E27" s="133" t="inlineStr">
        <is>
          <t>+8–12%</t>
        </is>
      </c>
      <c r="F27" s="122" t="inlineStr">
        <is>
          <t>64% → 70%+; each 1pp ≈ $150M incremental rev</t>
        </is>
      </c>
      <c r="G27" s="134" t="inlineStr">
        <is>
          <t>Monthly GMV + Payments GMV disclosure</t>
        </is>
      </c>
    </row>
    <row r="28" ht="35" customHeight="1">
      <c r="B28" s="125" t="inlineStr">
        <is>
          <t>C3</t>
        </is>
      </c>
      <c r="C28" s="126" t="inlineStr">
        <is>
          <t>FCF Margin Expansion Above 20%</t>
        </is>
      </c>
      <c r="D28" s="127" t="inlineStr">
        <is>
          <t>6–18 months</t>
        </is>
      </c>
      <c r="E28" s="128" t="inlineStr">
        <is>
          <t>+12–18%</t>
        </is>
      </c>
      <c r="F28" s="129" t="inlineStr">
        <is>
          <t>Q FCF margin &gt;20% with SBC &lt;3.5% of rev</t>
        </is>
      </c>
      <c r="G28" s="130" t="inlineStr">
        <is>
          <t>Quarterly FCF; SBC as % of operating expenses</t>
        </is>
      </c>
      <c r="H28" s="131" t="n"/>
      <c r="I28" s="131" t="n"/>
      <c r="J28" s="131" t="n"/>
    </row>
    <row r="29" ht="35" customHeight="1">
      <c r="B29" s="104" t="inlineStr">
        <is>
          <t>C4</t>
        </is>
      </c>
      <c r="C29" s="106" t="inlineStr">
        <is>
          <t>Enterprise / Shopify Plus Acceleration</t>
        </is>
      </c>
      <c r="D29" s="132" t="inlineStr">
        <is>
          <t>6–18 months</t>
        </is>
      </c>
      <c r="E29" s="133" t="inlineStr">
        <is>
          <t>+10–15%</t>
        </is>
      </c>
      <c r="F29" s="122" t="inlineStr">
        <is>
          <t>Plus MRR &gt;25% total MRR or &gt;$700M ann.</t>
        </is>
      </c>
      <c r="G29" s="134" t="inlineStr">
        <is>
          <t>MRR disclosure; Plus merchant count</t>
        </is>
      </c>
    </row>
    <row r="30" ht="35" customHeight="1">
      <c r="B30" s="125" t="inlineStr">
        <is>
          <t>C5</t>
        </is>
      </c>
      <c r="C30" s="126" t="inlineStr">
        <is>
          <t>B2B GMV Doubles Again (&gt;$XXB)</t>
        </is>
      </c>
      <c r="D30" s="127" t="inlineStr">
        <is>
          <t>12–24 months</t>
        </is>
      </c>
      <c r="E30" s="128" t="inlineStr">
        <is>
          <t>+15–20%</t>
        </is>
      </c>
      <c r="F30" s="129" t="inlineStr">
        <is>
          <t>B2B GMV run-rate &gt;$80B ann.</t>
        </is>
      </c>
      <c r="G30" s="130" t="inlineStr">
        <is>
          <t>B2B GMV quarterly disclosure</t>
        </is>
      </c>
      <c r="H30" s="131" t="n"/>
      <c r="I30" s="131" t="n"/>
      <c r="J30" s="131" t="n"/>
    </row>
    <row r="31" ht="35" customHeight="1">
      <c r="B31" s="104" t="inlineStr">
        <is>
          <t>C6</t>
        </is>
      </c>
      <c r="C31" s="106" t="inlineStr">
        <is>
          <t>AI Commerce Monetization</t>
        </is>
      </c>
      <c r="D31" s="132" t="inlineStr">
        <is>
          <t>12–24 months</t>
        </is>
      </c>
      <c r="E31" s="133" t="inlineStr">
        <is>
          <t>+10–20%</t>
        </is>
      </c>
      <c r="F31" s="122" t="inlineStr">
        <is>
          <t>AI-powered features generate &gt;$500M incremental rev</t>
        </is>
      </c>
      <c r="G31" s="134" t="inlineStr">
        <is>
          <t>New product adoption; ARPU trends</t>
        </is>
      </c>
    </row>
    <row r="32" ht="28" customHeight="1">
      <c r="B32" s="8" t="inlineStr">
        <is>
          <t>GMV ($B)</t>
        </is>
      </c>
      <c r="C32" s="135" t="n">
        <v>235.9</v>
      </c>
      <c r="D32" s="135" t="n">
        <v>292.3</v>
      </c>
      <c r="E32" s="135" t="n">
        <v>378.4</v>
      </c>
      <c r="F32" s="135" t="n">
        <v>496.2</v>
      </c>
      <c r="G32" s="136" t="inlineStr">
        <is>
          <t>&gt;$450B = on track</t>
        </is>
      </c>
      <c r="H32" s="137" t="inlineStr">
        <is>
          <t>Core volume driver; 1pp growth = ~$3.8B rev impact at 3.06% take rate</t>
        </is>
      </c>
      <c r="I32" s="50" t="n"/>
      <c r="J32" s="50" t="n"/>
    </row>
    <row r="33" ht="28" customHeight="1">
      <c r="B33" s="10" t="inlineStr">
        <is>
          <t>GMV Growth %</t>
        </is>
      </c>
      <c r="C33" s="33" t="n">
        <v>0.197</v>
      </c>
      <c r="D33" s="33" t="n">
        <v>0.239</v>
      </c>
      <c r="E33" s="33" t="n">
        <v>0.29</v>
      </c>
      <c r="F33" s="33" t="n">
        <v>0.311</v>
      </c>
      <c r="G33" s="138" t="inlineStr">
        <is>
          <t>&gt;25% = on track</t>
        </is>
      </c>
      <c r="H33" s="122" t="inlineStr">
        <is>
          <t>Deceleration below 20% would trigger re-rating</t>
        </is>
      </c>
    </row>
    <row r="34" ht="28" customHeight="1">
      <c r="B34" s="8" t="inlineStr">
        <is>
          <t>Take Rate (%)</t>
        </is>
      </c>
      <c r="C34" s="139" t="n">
        <v>0.0299</v>
      </c>
      <c r="D34" s="139" t="n">
        <v>0.0304</v>
      </c>
      <c r="E34" s="139" t="n">
        <v>0.0306</v>
      </c>
      <c r="F34" s="139" t="n">
        <v>0.0308</v>
      </c>
      <c r="G34" s="136" t="inlineStr">
        <is>
          <t>&gt;3.1% positive; &lt;3.0% negative</t>
        </is>
      </c>
      <c r="H34" s="137" t="inlineStr">
        <is>
          <t>Key lever: payments penetration + BNPL + Capital</t>
        </is>
      </c>
      <c r="I34" s="50" t="n"/>
      <c r="J34" s="50" t="n"/>
    </row>
    <row r="35" ht="28" customHeight="1">
      <c r="B35" s="10" t="inlineStr">
        <is>
          <t>Payments Penetration %</t>
        </is>
      </c>
      <c r="C35" s="33" t="n">
        <v>0.58</v>
      </c>
      <c r="D35" s="33" t="n">
        <v>0.64</v>
      </c>
      <c r="E35" s="33" t="n">
        <v>0.66</v>
      </c>
      <c r="F35" s="33" t="n">
        <v>0.6899999999999999</v>
      </c>
      <c r="G35" s="138" t="inlineStr">
        <is>
          <t>&gt;70% = bullish</t>
        </is>
      </c>
      <c r="H35" s="122" t="inlineStr">
        <is>
          <t>Each +1pp penetration ≈ +$200M FCF at scale</t>
        </is>
      </c>
    </row>
    <row r="36" ht="28" customHeight="1">
      <c r="B36" s="8" t="inlineStr">
        <is>
          <t>Monthly Recurring Rev ($M)</t>
        </is>
      </c>
      <c r="C36" s="135" t="n">
        <v>151</v>
      </c>
      <c r="D36" s="135" t="n">
        <v>168</v>
      </c>
      <c r="E36" s="135" t="n">
        <v>182</v>
      </c>
      <c r="F36" s="135" t="n">
        <v>211</v>
      </c>
      <c r="G36" s="136" t="inlineStr">
        <is>
          <t>&gt;$220M = on track</t>
        </is>
      </c>
      <c r="H36" s="137" t="inlineStr">
        <is>
          <t>Subscription health; leads volume by ~2 quarters</t>
        </is>
      </c>
      <c r="I36" s="50" t="n"/>
      <c r="J36" s="50" t="n"/>
    </row>
    <row r="37" ht="28" customHeight="1">
      <c r="B37" s="10" t="inlineStr">
        <is>
          <t>FCF Margin (%)</t>
        </is>
      </c>
      <c r="C37" s="33" t="n">
        <v>0.128</v>
      </c>
      <c r="D37" s="33" t="n">
        <v>0.18</v>
      </c>
      <c r="E37" s="33" t="n">
        <v>0.174</v>
      </c>
      <c r="F37" s="33" t="n">
        <v>0.175</v>
      </c>
      <c r="G37" s="138" t="inlineStr">
        <is>
          <t>&gt;20% = upgrade signal</t>
        </is>
      </c>
      <c r="H37" s="122" t="inlineStr">
        <is>
          <t>GAAP to cash conversion; watch SBC component</t>
        </is>
      </c>
    </row>
    <row r="38" ht="28" customHeight="1">
      <c r="B38" s="8" t="inlineStr">
        <is>
          <t>SBC % of Revenue</t>
        </is>
      </c>
      <c r="C38" s="139" t="n">
        <v>0.08699999999999999</v>
      </c>
      <c r="D38" s="139" t="n">
        <v>0.048</v>
      </c>
      <c r="E38" s="139" t="n">
        <v>0.039</v>
      </c>
      <c r="F38" s="139" t="n">
        <v>0.035</v>
      </c>
      <c r="G38" s="136" t="inlineStr">
        <is>
          <t>&lt;3.5% = improving</t>
        </is>
      </c>
      <c r="H38" s="137" t="inlineStr">
        <is>
          <t>Dilution risk; inflates non-GAAP vs. GAAP spread</t>
        </is>
      </c>
      <c r="I38" s="50" t="n"/>
      <c r="J38" s="50" t="n"/>
    </row>
    <row r="39" ht="28" customHeight="1">
      <c r="B39" s="10" t="inlineStr">
        <is>
          <t>Gross Margin (%)</t>
        </is>
      </c>
      <c r="C39" s="33" t="n">
        <v>0.498</v>
      </c>
      <c r="D39" s="33" t="n">
        <v>0.504</v>
      </c>
      <c r="E39" s="33" t="n">
        <v>0.481</v>
      </c>
      <c r="F39" s="33" t="n">
        <v>0.475</v>
      </c>
      <c r="G39" s="138" t="inlineStr">
        <is>
          <t>&gt;50% = maintain; &lt;47% = concern</t>
        </is>
      </c>
      <c r="H39" s="122" t="inlineStr">
        <is>
          <t>Mix shift toward Merchant Sol. (lower margin) is structural</t>
        </is>
      </c>
    </row>
    <row r="40" ht="28" customHeight="1">
      <c r="B40" s="8" t="inlineStr">
        <is>
          <t>Net Revenue Retention</t>
        </is>
      </c>
      <c r="C40" s="135" t="n">
        <v>115</v>
      </c>
      <c r="D40" s="135" t="n">
        <v>115</v>
      </c>
      <c r="E40" s="135" t="n">
        <v>115</v>
      </c>
      <c r="F40" s="135" t="n">
        <v>115</v>
      </c>
      <c r="G40" s="136" t="inlineStr">
        <is>
          <t>&gt;115% = healthy</t>
        </is>
      </c>
      <c r="H40" s="137" t="inlineStr">
        <is>
          <t>Indicates upsell and cross-sell effectiveness</t>
        </is>
      </c>
      <c r="I40" s="50" t="n"/>
      <c r="J40" s="50" t="n"/>
    </row>
    <row r="41" ht="28" customHeight="1">
      <c r="B41" s="10" t="inlineStr">
        <is>
          <t>B2B GMV YoY Growth %</t>
        </is>
      </c>
      <c r="C41" s="33" t="n">
        <v>1</v>
      </c>
      <c r="D41" s="33" t="n">
        <v>0.84</v>
      </c>
      <c r="E41" s="33" t="n">
        <v>0.84</v>
      </c>
      <c r="F41" s="33" t="n">
        <v>0.5</v>
      </c>
      <c r="G41" s="138" t="inlineStr">
        <is>
          <t>&gt;50% sustained = new growth vector</t>
        </is>
      </c>
      <c r="H41" s="122" t="inlineStr">
        <is>
          <t>Validates enterprise strategy; higher ARPU segment</t>
        </is>
      </c>
    </row>
    <row r="42" ht="28" customHeight="1">
      <c r="B42" s="8" t="inlineStr">
        <is>
          <t>International Rev %</t>
        </is>
      </c>
      <c r="C42" s="139" t="n">
        <v>0.26</v>
      </c>
      <c r="D42" s="139" t="n">
        <v>0.28</v>
      </c>
      <c r="E42" s="139" t="n">
        <v>0.3</v>
      </c>
      <c r="F42" s="139" t="n">
        <v>0.32</v>
      </c>
      <c r="G42" s="136" t="inlineStr">
        <is>
          <t>&gt;35% = long-term target</t>
        </is>
      </c>
      <c r="H42" s="137" t="inlineStr">
        <is>
          <t>TAM diversification; reduces US-macro dependency</t>
        </is>
      </c>
      <c r="I42" s="50" t="n"/>
      <c r="J42" s="50" t="n"/>
    </row>
    <row r="43" ht="28" customHeight="1">
      <c r="B43" s="10" t="inlineStr">
        <is>
          <t>Adj. EPS</t>
        </is>
      </c>
      <c r="C43" s="33" t="n">
        <v>0.1</v>
      </c>
      <c r="D43" s="33" t="n">
        <v>1.55</v>
      </c>
      <c r="E43" s="33" t="n">
        <v>0.9399999999999999</v>
      </c>
      <c r="F43" s="33" t="n">
        <v>1.86</v>
      </c>
      <c r="G43" s="138" t="inlineStr">
        <is>
          <t>&gt;$1.80 FY2026E consensus</t>
        </is>
      </c>
      <c r="H43" s="122" t="inlineStr">
        <is>
          <t>Primary P/E valuation anchor; watch SBC adjustments</t>
        </is>
      </c>
    </row>
  </sheetData>
  <mergeCells count="4">
    <mergeCell ref="B2:J3"/>
    <mergeCell ref="B24:J24"/>
    <mergeCell ref="B6:J6"/>
    <mergeCell ref="B14: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7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11" customWidth="1" min="3" max="3"/>
    <col width="14" customWidth="1" min="4" max="4"/>
    <col width="11" customWidth="1" min="5" max="5"/>
    <col width="60" customWidth="1" min="6" max="6"/>
  </cols>
  <sheetData>
    <row r="2">
      <c r="B2" s="26" t="inlineStr">
        <is>
          <t>SHOPIFY — DCF MODEL ASSUMPTIONS REGISTER</t>
        </is>
      </c>
    </row>
    <row r="3"/>
    <row r="4">
      <c r="B4" s="27" t="inlineStr">
        <is>
          <t>Complete list of assumptions required for the 5-year DCF model. Blue = input. Black = formula.</t>
        </is>
      </c>
    </row>
    <row r="6" ht="20" customHeight="1">
      <c r="B6" s="49" t="inlineStr">
        <is>
          <t>A. DISCOUNT RATE (WACC)</t>
        </is>
      </c>
    </row>
    <row r="7">
      <c r="B7" s="7" t="inlineStr">
        <is>
          <t>Assumption</t>
        </is>
      </c>
      <c r="C7" s="7" t="inlineStr">
        <is>
          <t>Value</t>
        </is>
      </c>
      <c r="F7" s="7" t="inlineStr">
        <is>
          <t>Source Type</t>
        </is>
      </c>
      <c r="G7" s="7" t="inlineStr">
        <is>
          <t>Notes / Rationale</t>
        </is>
      </c>
    </row>
    <row r="8" ht="22" customHeight="1">
      <c r="B8" s="8" t="inlineStr">
        <is>
          <t>Risk-Free Rate (Rf)</t>
        </is>
      </c>
      <c r="C8" s="140" t="inlineStr">
        <is>
          <t>INPUT</t>
        </is>
      </c>
      <c r="D8" s="51" t="n">
        <v>0.0442</v>
      </c>
      <c r="E8" s="50" t="n"/>
      <c r="F8" s="137" t="inlineStr">
        <is>
          <t>10Y US Treasury yield; source: alphaspread.com May 2026</t>
        </is>
      </c>
      <c r="G8" s="50" t="n"/>
      <c r="H8" s="50" t="n"/>
      <c r="I8" s="50" t="n"/>
    </row>
    <row r="9" ht="22" customHeight="1">
      <c r="B9" s="10" t="inlineStr">
        <is>
          <t>Equity Risk Premium (ERP)</t>
        </is>
      </c>
      <c r="C9" s="141" t="inlineStr">
        <is>
          <t>INPUT</t>
        </is>
      </c>
      <c r="D9" s="53" t="n">
        <v>0.055</v>
      </c>
      <c r="F9" s="122" t="inlineStr">
        <is>
          <t>Damodaran Jan-2026 implied ERP for US market</t>
        </is>
      </c>
    </row>
    <row r="10" ht="22" customHeight="1">
      <c r="B10" s="8" t="inlineStr">
        <is>
          <t>Adjusted Beta (β)</t>
        </is>
      </c>
      <c r="C10" s="140" t="inlineStr">
        <is>
          <t>INPUT</t>
        </is>
      </c>
      <c r="D10" s="54" t="n">
        <v>1.65</v>
      </c>
      <c r="E10" s="50" t="n"/>
      <c r="F10" s="137" t="inlineStr">
        <is>
          <t>Blume-adjusted (raw published beta ~2.82; adj toward 1.0)</t>
        </is>
      </c>
      <c r="G10" s="50" t="n"/>
      <c r="H10" s="50" t="n"/>
      <c r="I10" s="50" t="n"/>
    </row>
    <row r="11" ht="22" customHeight="1">
      <c r="B11" s="10" t="inlineStr">
        <is>
          <t>Cost of Equity (Ke)</t>
        </is>
      </c>
      <c r="C11" s="142" t="inlineStr">
        <is>
          <t>FORMULA</t>
        </is>
      </c>
      <c r="F11" s="122">
        <f> Rf + β × ERP = 4.42% + 1.65 × 5.5% = 13.50%</f>
        <v/>
      </c>
    </row>
    <row r="12" ht="22" customHeight="1">
      <c r="B12" s="8" t="inlineStr">
        <is>
          <t>Pre-tax Cost of Debt (Kd)</t>
        </is>
      </c>
      <c r="C12" s="140" t="inlineStr">
        <is>
          <t>INPUT</t>
        </is>
      </c>
      <c r="D12" s="51" t="n">
        <v>0.042</v>
      </c>
      <c r="E12" s="50" t="n"/>
      <c r="F12" s="137" t="inlineStr">
        <is>
          <t>Weighted avg interest rate on SHOP convertible notes</t>
        </is>
      </c>
      <c r="G12" s="50" t="n"/>
      <c r="H12" s="50" t="n"/>
      <c r="I12" s="50" t="n"/>
    </row>
    <row r="13" ht="22" customHeight="1">
      <c r="B13" s="10" t="inlineStr">
        <is>
          <t>Effective Tax Rate</t>
        </is>
      </c>
      <c r="C13" s="141" t="inlineStr">
        <is>
          <t>INPUT</t>
        </is>
      </c>
      <c r="D13" s="53" t="n">
        <v>0.13</v>
      </c>
      <c r="F13" s="122" t="inlineStr">
        <is>
          <t>Blended CAN + US + international effective rate (2024A: 9.4%; normalized ~13%)</t>
        </is>
      </c>
    </row>
    <row r="14" ht="22" customHeight="1">
      <c r="B14" s="8" t="inlineStr">
        <is>
          <t>After-tax Cost of Debt</t>
        </is>
      </c>
      <c r="C14" s="143" t="inlineStr">
        <is>
          <t>FORMULA</t>
        </is>
      </c>
      <c r="D14" s="50" t="n"/>
      <c r="E14" s="50" t="n"/>
      <c r="F14" s="137">
        <f> Kd × (1 - T) = 4.2% × (1 - 13%) = 3.65%</f>
        <v/>
      </c>
      <c r="G14" s="50" t="n"/>
      <c r="H14" s="50" t="n"/>
      <c r="I14" s="50" t="n"/>
    </row>
    <row r="15" ht="22" customHeight="1">
      <c r="B15" s="10" t="inlineStr">
        <is>
          <t>Equity Weight (We)</t>
        </is>
      </c>
      <c r="C15" s="141" t="inlineStr">
        <is>
          <t>INPUT</t>
        </is>
      </c>
      <c r="D15" s="53" t="n">
        <v>0.999</v>
      </c>
      <c r="F15" s="122" t="inlineStr">
        <is>
          <t>Mkt cap / (Mkt cap + Total debt); SHOP is near-debt-free</t>
        </is>
      </c>
    </row>
    <row r="16" ht="22" customHeight="1">
      <c r="B16" s="8" t="inlineStr">
        <is>
          <t>Debt Weight (Wd)</t>
        </is>
      </c>
      <c r="C16" s="143" t="inlineStr">
        <is>
          <t>FORMULA</t>
        </is>
      </c>
      <c r="D16" s="56" t="n">
        <v>0.001</v>
      </c>
      <c r="E16" s="50" t="n"/>
      <c r="F16" s="137">
        <f> 1 - We</f>
        <v/>
      </c>
      <c r="G16" s="50" t="n"/>
      <c r="H16" s="50" t="n"/>
      <c r="I16" s="50" t="n"/>
    </row>
    <row r="17" ht="22" customHeight="1">
      <c r="B17" s="10" t="inlineStr">
        <is>
          <t>WACC</t>
        </is>
      </c>
      <c r="C17" s="142" t="inlineStr">
        <is>
          <t>FORMULA</t>
        </is>
      </c>
      <c r="F17" s="122">
        <f> We × Ke + Wd × Kd(1-T) = 13.49%</f>
        <v/>
      </c>
    </row>
    <row r="19" ht="20" customHeight="1">
      <c r="B19" s="49" t="inlineStr">
        <is>
          <t>B. REVENUE GROWTH ASSUMPTIONS (BASE CASE)</t>
        </is>
      </c>
    </row>
    <row r="20">
      <c r="B20" s="7" t="inlineStr">
        <is>
          <t>Assumption</t>
        </is>
      </c>
      <c r="C20" s="7" t="inlineStr">
        <is>
          <t>Value</t>
        </is>
      </c>
      <c r="F20" s="7" t="inlineStr">
        <is>
          <t>Source Type</t>
        </is>
      </c>
      <c r="G20" s="7" t="inlineStr">
        <is>
          <t>Notes / Rationale</t>
        </is>
      </c>
    </row>
    <row r="21" ht="22" customHeight="1">
      <c r="B21" s="8" t="inlineStr">
        <is>
          <t>FY2026E Revenue Growth</t>
        </is>
      </c>
      <c r="C21" s="140" t="inlineStr">
        <is>
          <t>INPUT</t>
        </is>
      </c>
      <c r="D21" s="51" t="n">
        <v>0.31</v>
      </c>
      <c r="E21" s="50" t="n"/>
      <c r="F21" s="137" t="inlineStr">
        <is>
          <t>Anchored to Q1/Q2 2026 guidance + consensus ~$15.1B; Q1 2026A was 34.3%</t>
        </is>
      </c>
      <c r="G21" s="50" t="n"/>
      <c r="H21" s="50" t="n"/>
      <c r="I21" s="50" t="n"/>
    </row>
    <row r="22" ht="22" customHeight="1">
      <c r="B22" s="10" t="inlineStr">
        <is>
          <t>FY2027E Revenue Growth</t>
        </is>
      </c>
      <c r="C22" s="141" t="inlineStr">
        <is>
          <t>INPUT</t>
        </is>
      </c>
      <c r="D22" s="53" t="n">
        <v>0.261</v>
      </c>
      <c r="F22" s="122" t="inlineStr">
        <is>
          <t>Consensus ~$18.6B; assumes gradual deceleration from momentum</t>
        </is>
      </c>
    </row>
    <row r="23" ht="22" customHeight="1">
      <c r="B23" s="8" t="inlineStr">
        <is>
          <t>FY2028E Revenue Growth</t>
        </is>
      </c>
      <c r="C23" s="140" t="inlineStr">
        <is>
          <t>INPUT</t>
        </is>
      </c>
      <c r="D23" s="51" t="n">
        <v>0.23</v>
      </c>
      <c r="E23" s="50" t="n"/>
      <c r="F23" s="137" t="inlineStr">
        <is>
          <t>Reflects scaling from larger base; enterprise ramp partially offsetting</t>
        </is>
      </c>
      <c r="G23" s="50" t="n"/>
      <c r="H23" s="50" t="n"/>
      <c r="I23" s="50" t="n"/>
    </row>
    <row r="24" ht="22" customHeight="1">
      <c r="B24" s="10" t="inlineStr">
        <is>
          <t>FY2029E Revenue Growth</t>
        </is>
      </c>
      <c r="C24" s="141" t="inlineStr">
        <is>
          <t>INPUT</t>
        </is>
      </c>
      <c r="D24" s="53" t="n">
        <v>0.21</v>
      </c>
      <c r="F24" s="122" t="inlineStr">
        <is>
          <t>Continued deceleration; GMV growth assumption ~21%</t>
        </is>
      </c>
    </row>
    <row r="25" ht="22" customHeight="1">
      <c r="B25" s="8" t="inlineStr">
        <is>
          <t>FY2030E Revenue Growth</t>
        </is>
      </c>
      <c r="C25" s="140" t="inlineStr">
        <is>
          <t>INPUT</t>
        </is>
      </c>
      <c r="D25" s="51" t="n">
        <v>0.18</v>
      </c>
      <c r="E25" s="50" t="n"/>
      <c r="F25" s="137" t="inlineStr">
        <is>
          <t>Convergence toward sustainable 15-20% LT growth</t>
        </is>
      </c>
      <c r="G25" s="50" t="n"/>
      <c r="H25" s="50" t="n"/>
      <c r="I25" s="50" t="n"/>
    </row>
    <row r="26" ht="22" customHeight="1">
      <c r="B26" s="10" t="inlineStr">
        <is>
          <t>Terminal Growth Rate</t>
        </is>
      </c>
      <c r="C26" s="141" t="inlineStr">
        <is>
          <t>INPUT</t>
        </is>
      </c>
      <c r="D26" s="53" t="n">
        <v>0.03</v>
      </c>
      <c r="F26" s="122" t="inlineStr">
        <is>
          <t>GDP+ given commerce platform nature; 3.0% = upper bound; must be &lt; WACC</t>
        </is>
      </c>
    </row>
    <row r="28" ht="20" customHeight="1">
      <c r="B28" s="49" t="inlineStr">
        <is>
          <t>C. SEGMENT REVENUE ASSUMPTIONS</t>
        </is>
      </c>
    </row>
    <row r="29">
      <c r="B29" s="7" t="inlineStr">
        <is>
          <t>Assumption</t>
        </is>
      </c>
      <c r="C29" s="7" t="inlineStr">
        <is>
          <t>Value</t>
        </is>
      </c>
      <c r="F29" s="7" t="inlineStr">
        <is>
          <t>Source Type</t>
        </is>
      </c>
      <c r="G29" s="7" t="inlineStr">
        <is>
          <t>Notes / Rationale</t>
        </is>
      </c>
    </row>
    <row r="30" ht="22" customHeight="1">
      <c r="B30" s="8" t="inlineStr">
        <is>
          <t>Subscription Solutions Growth FY2026E</t>
        </is>
      </c>
      <c r="C30" s="140" t="inlineStr">
        <is>
          <t>INPUT</t>
        </is>
      </c>
      <c r="D30" s="51" t="n">
        <v>0.296</v>
      </c>
      <c r="E30" s="50" t="n"/>
      <c r="F30" s="137" t="inlineStr">
        <is>
          <t>Driven by platform fee increases + merchant count; Q1 2026 +20.2% YoY</t>
        </is>
      </c>
      <c r="G30" s="50" t="n"/>
      <c r="H30" s="50" t="n"/>
      <c r="I30" s="50" t="n"/>
    </row>
    <row r="31" ht="22" customHeight="1">
      <c r="B31" s="10" t="inlineStr">
        <is>
          <t>Merchant Solutions Growth FY2026E</t>
        </is>
      </c>
      <c r="C31" s="141" t="inlineStr">
        <is>
          <t>INPUT</t>
        </is>
      </c>
      <c r="D31" s="53" t="n">
        <v>0.323</v>
      </c>
      <c r="F31" s="122" t="inlineStr">
        <is>
          <t>Driven by GMV growth + payments penetration; Q1 2026 +39% YoY (4-yr high)</t>
        </is>
      </c>
    </row>
    <row r="32" ht="22" customHeight="1">
      <c r="B32" s="8" t="inlineStr">
        <is>
          <t>Subscription Mix (FY2026E)</t>
        </is>
      </c>
      <c r="C32" s="143" t="inlineStr">
        <is>
          <t>FORMULA</t>
        </is>
      </c>
      <c r="D32" s="56" t="n">
        <v>0.186</v>
      </c>
      <c r="E32" s="50" t="n"/>
      <c r="F32" s="137">
        <f> Subscription Rev / Total Rev; structural decline as Merchant grows faster</f>
        <v/>
      </c>
      <c r="G32" s="50" t="n"/>
      <c r="H32" s="50" t="n"/>
      <c r="I32" s="50" t="n"/>
    </row>
    <row r="33" ht="22" customHeight="1">
      <c r="B33" s="10" t="inlineStr">
        <is>
          <t>GMV Growth FY2026E</t>
        </is>
      </c>
      <c r="C33" s="141" t="inlineStr">
        <is>
          <t>INPUT</t>
        </is>
      </c>
      <c r="D33" s="53" t="n">
        <v>0.311</v>
      </c>
      <c r="F33" s="122" t="inlineStr">
        <is>
          <t>Consensus ~$496B; Q1 2026A GMV was $100.74B (+34.8% YoY)</t>
        </is>
      </c>
    </row>
    <row r="34" ht="22" customHeight="1">
      <c r="B34" s="8" t="inlineStr">
        <is>
          <t>GMV Take Rate (blended)</t>
        </is>
      </c>
      <c r="C34" s="140" t="inlineStr">
        <is>
          <t>INPUT</t>
        </is>
      </c>
      <c r="D34" s="51" t="n">
        <v>0.0308</v>
      </c>
      <c r="E34" s="50" t="n"/>
      <c r="F34" s="137" t="inlineStr">
        <is>
          <t>Derived from Total Rev / GMV; slight expansion from Payments growth</t>
        </is>
      </c>
      <c r="G34" s="50" t="n"/>
      <c r="H34" s="50" t="n"/>
      <c r="I34" s="50" t="n"/>
    </row>
    <row r="35" ht="22" customHeight="1">
      <c r="B35" s="10" t="inlineStr">
        <is>
          <t>Payments Penetration (FY2026E)</t>
        </is>
      </c>
      <c r="C35" s="141" t="inlineStr">
        <is>
          <t>INPUT</t>
        </is>
      </c>
      <c r="D35" s="53" t="n">
        <v>0.6899999999999999</v>
      </c>
      <c r="F35" s="122" t="inlineStr">
        <is>
          <t>64% in FY2025; trajectory toward 70%+ over next 2 years</t>
        </is>
      </c>
    </row>
    <row r="37" ht="20" customHeight="1">
      <c r="B37" s="49" t="inlineStr">
        <is>
          <t>D. MARGIN &amp; PROFITABILITY ASSUMPTIONS</t>
        </is>
      </c>
    </row>
    <row r="38">
      <c r="B38" s="7" t="inlineStr">
        <is>
          <t>Assumption</t>
        </is>
      </c>
      <c r="C38" s="7" t="inlineStr">
        <is>
          <t>Value</t>
        </is>
      </c>
      <c r="F38" s="7" t="inlineStr">
        <is>
          <t>Source Type</t>
        </is>
      </c>
      <c r="G38" s="7" t="inlineStr">
        <is>
          <t>Notes / Rationale</t>
        </is>
      </c>
    </row>
    <row r="39" ht="22" customHeight="1">
      <c r="B39" s="8" t="inlineStr">
        <is>
          <t>Gross Margin (FY2026E)</t>
        </is>
      </c>
      <c r="C39" s="140" t="inlineStr">
        <is>
          <t>INPUT</t>
        </is>
      </c>
      <c r="D39" s="51" t="n">
        <v>0.475</v>
      </c>
      <c r="E39" s="50" t="n"/>
      <c r="F39" s="137" t="inlineStr">
        <is>
          <t>FY2025A: 48.1%; Merchant mix dilutes; Payments scale should help gradually</t>
        </is>
      </c>
      <c r="G39" s="50" t="n"/>
      <c r="H39" s="50" t="n"/>
      <c r="I39" s="50" t="n"/>
    </row>
    <row r="40" ht="22" customHeight="1">
      <c r="B40" s="10" t="inlineStr">
        <is>
          <t>Gross Margin Long-term (FY2030E)</t>
        </is>
      </c>
      <c r="C40" s="141" t="inlineStr">
        <is>
          <t>INPUT</t>
        </is>
      </c>
      <c r="D40" s="53" t="n">
        <v>0.48</v>
      </c>
      <c r="F40" s="122" t="inlineStr">
        <is>
          <t>Modest improvement from software scale + SaaS mix shift</t>
        </is>
      </c>
    </row>
    <row r="41" ht="22" customHeight="1">
      <c r="B41" s="8" t="inlineStr">
        <is>
          <t>R&amp;D % of Revenue (FY2026E)</t>
        </is>
      </c>
      <c r="C41" s="140" t="inlineStr">
        <is>
          <t>INPUT</t>
        </is>
      </c>
      <c r="D41" s="51" t="n">
        <v>0.133</v>
      </c>
      <c r="E41" s="50" t="n"/>
      <c r="F41" s="137" t="inlineStr">
        <is>
          <t>FY2025A: ~13.3%; AI investment cycle keeps R&amp;D elevated</t>
        </is>
      </c>
      <c r="G41" s="50" t="n"/>
      <c r="H41" s="50" t="n"/>
      <c r="I41" s="50" t="n"/>
    </row>
    <row r="42" ht="22" customHeight="1">
      <c r="B42" s="10" t="inlineStr">
        <is>
          <t>R&amp;D % of Revenue (FY2030E)</t>
        </is>
      </c>
      <c r="C42" s="141" t="inlineStr">
        <is>
          <t>INPUT</t>
        </is>
      </c>
      <c r="D42" s="53" t="n">
        <v>0.123</v>
      </c>
      <c r="F42" s="122" t="inlineStr">
        <is>
          <t>Gradual leverage as revenue scales; floor around 12%</t>
        </is>
      </c>
    </row>
    <row r="43" ht="22" customHeight="1">
      <c r="B43" s="8" t="inlineStr">
        <is>
          <t>SG&amp;A % of Revenue (FY2026E)</t>
        </is>
      </c>
      <c r="C43" s="140" t="inlineStr">
        <is>
          <t>INPUT</t>
        </is>
      </c>
      <c r="D43" s="51" t="n">
        <v>0.184</v>
      </c>
      <c r="E43" s="50" t="n"/>
      <c r="F43" s="137" t="inlineStr">
        <is>
          <t>FY2025A: ~18.5%; operating leverage expected over time</t>
        </is>
      </c>
      <c r="G43" s="50" t="n"/>
      <c r="H43" s="50" t="n"/>
      <c r="I43" s="50" t="n"/>
    </row>
    <row r="44" ht="22" customHeight="1">
      <c r="B44" s="10" t="inlineStr">
        <is>
          <t>SG&amp;A % of Revenue (FY2030E)</t>
        </is>
      </c>
      <c r="C44" s="141" t="inlineStr">
        <is>
          <t>INPUT</t>
        </is>
      </c>
      <c r="D44" s="53" t="n">
        <v>0.173</v>
      </c>
      <c r="F44" s="122" t="inlineStr">
        <is>
          <t>Consensus expects meaningful SG&amp;A leverage by FY2028+</t>
        </is>
      </c>
    </row>
    <row r="45" ht="22" customHeight="1">
      <c r="B45" s="8" t="inlineStr">
        <is>
          <t>D&amp;A % of Revenue</t>
        </is>
      </c>
      <c r="C45" s="140" t="inlineStr">
        <is>
          <t>INPUT</t>
        </is>
      </c>
      <c r="D45" s="51" t="n">
        <v>0.017</v>
      </c>
      <c r="E45" s="50" t="n"/>
      <c r="F45" s="137" t="inlineStr">
        <is>
          <t>Low CapEx model; D&amp;A is modest and stable</t>
        </is>
      </c>
      <c r="G45" s="50" t="n"/>
      <c r="H45" s="50" t="n"/>
      <c r="I45" s="50" t="n"/>
    </row>
    <row r="46" ht="22" customHeight="1">
      <c r="B46" s="10" t="inlineStr">
        <is>
          <t>EBIT Margin (FY2026E)</t>
        </is>
      </c>
      <c r="C46" s="142" t="inlineStr">
        <is>
          <t>FORMULA</t>
        </is>
      </c>
      <c r="D46" s="55" t="n">
        <v>0.141</v>
      </c>
      <c r="F46" s="122">
        <f> GM - R&amp;D% - SG&amp;A% - D&amp;A% ≈ 14.1%</f>
        <v/>
      </c>
    </row>
    <row r="47" ht="22" customHeight="1">
      <c r="B47" s="8" t="inlineStr">
        <is>
          <t>EBIT Margin Long-term (FY2030E)</t>
        </is>
      </c>
      <c r="C47" s="143" t="inlineStr">
        <is>
          <t>FORMULA</t>
        </is>
      </c>
      <c r="D47" s="56" t="n">
        <v>0.17</v>
      </c>
      <c r="E47" s="50" t="n"/>
      <c r="F47" s="137" t="inlineStr">
        <is>
          <t>Structural margin expansion as revenue scales</t>
        </is>
      </c>
      <c r="G47" s="50" t="n"/>
      <c r="H47" s="50" t="n"/>
      <c r="I47" s="50" t="n"/>
    </row>
    <row r="49" ht="20" customHeight="1">
      <c r="B49" s="49" t="inlineStr">
        <is>
          <t>E. FREE CASH FLOW ASSUMPTIONS</t>
        </is>
      </c>
    </row>
    <row r="50">
      <c r="B50" s="7" t="inlineStr">
        <is>
          <t>Assumption</t>
        </is>
      </c>
      <c r="C50" s="7" t="inlineStr">
        <is>
          <t>Value</t>
        </is>
      </c>
      <c r="F50" s="7" t="inlineStr">
        <is>
          <t>Source Type</t>
        </is>
      </c>
      <c r="G50" s="7" t="inlineStr">
        <is>
          <t>Notes / Rationale</t>
        </is>
      </c>
    </row>
    <row r="51" ht="22" customHeight="1">
      <c r="B51" s="8" t="inlineStr">
        <is>
          <t>FCF Margin FY2026E</t>
        </is>
      </c>
      <c r="C51" s="140" t="inlineStr">
        <is>
          <t>INPUT</t>
        </is>
      </c>
      <c r="D51" s="51" t="n">
        <v>0.175</v>
      </c>
      <c r="E51" s="50" t="n"/>
      <c r="F51" s="137" t="inlineStr">
        <is>
          <t>SHOP guides "mid-teens" FCF margin for Q1/Q2 2026; FY target ~17-18%</t>
        </is>
      </c>
      <c r="G51" s="50" t="n"/>
      <c r="H51" s="50" t="n"/>
      <c r="I51" s="50" t="n"/>
    </row>
    <row r="52" ht="22" customHeight="1">
      <c r="B52" s="10" t="inlineStr">
        <is>
          <t>FCF Margin FY2027E</t>
        </is>
      </c>
      <c r="C52" s="141" t="inlineStr">
        <is>
          <t>INPUT</t>
        </is>
      </c>
      <c r="D52" s="53" t="n">
        <v>0.19</v>
      </c>
      <c r="F52" s="122" t="inlineStr">
        <is>
          <t>Expansion driven by SG&amp;A leverage + payments scale economies</t>
        </is>
      </c>
    </row>
    <row r="53" ht="22" customHeight="1">
      <c r="B53" s="8" t="inlineStr">
        <is>
          <t>FCF Margin FY2028E</t>
        </is>
      </c>
      <c r="C53" s="140" t="inlineStr">
        <is>
          <t>INPUT</t>
        </is>
      </c>
      <c r="D53" s="51" t="n">
        <v>0.205</v>
      </c>
      <c r="E53" s="50" t="n"/>
      <c r="F53" s="137" t="inlineStr">
        <is>
          <t>Achieves &gt;20% threshold; validates margin thesis</t>
        </is>
      </c>
      <c r="G53" s="50" t="n"/>
      <c r="H53" s="50" t="n"/>
      <c r="I53" s="50" t="n"/>
    </row>
    <row r="54" ht="22" customHeight="1">
      <c r="B54" s="10" t="inlineStr">
        <is>
          <t>FCF Margin FY2029E</t>
        </is>
      </c>
      <c r="C54" s="141" t="inlineStr">
        <is>
          <t>INPUT</t>
        </is>
      </c>
      <c r="D54" s="53" t="n">
        <v>0.215</v>
      </c>
      <c r="F54" s="122" t="inlineStr">
        <is>
          <t>Continued expansion; R&amp;D spending decelerates</t>
        </is>
      </c>
    </row>
    <row r="55" ht="22" customHeight="1">
      <c r="B55" s="8" t="inlineStr">
        <is>
          <t>FCF Margin FY2030E</t>
        </is>
      </c>
      <c r="C55" s="140" t="inlineStr">
        <is>
          <t>INPUT</t>
        </is>
      </c>
      <c r="D55" s="51" t="n">
        <v>0.22</v>
      </c>
      <c r="E55" s="50" t="n"/>
      <c r="F55" s="137" t="inlineStr">
        <is>
          <t>Base terminal FCF margin; below premium-SaaS comps (~35%)</t>
        </is>
      </c>
      <c r="G55" s="50" t="n"/>
      <c r="H55" s="50" t="n"/>
      <c r="I55" s="50" t="n"/>
    </row>
    <row r="56" ht="22" customHeight="1">
      <c r="B56" s="10" t="inlineStr">
        <is>
          <t>CapEx % of Revenue</t>
        </is>
      </c>
      <c r="C56" s="141" t="inlineStr">
        <is>
          <t>INPUT</t>
        </is>
      </c>
      <c r="D56" s="53" t="n">
        <v>0.022</v>
      </c>
      <c r="F56" s="122" t="inlineStr">
        <is>
          <t>FY2025A: ~0.2%; extremely low CapEx intensity (asset-light model)</t>
        </is>
      </c>
    </row>
    <row r="57" ht="22" customHeight="1">
      <c r="B57" s="8" t="inlineStr">
        <is>
          <t>Change in NWC % of Rev Change</t>
        </is>
      </c>
      <c r="C57" s="140" t="inlineStr">
        <is>
          <t>INPUT</t>
        </is>
      </c>
      <c r="D57" s="51" t="n">
        <v>0.03</v>
      </c>
      <c r="E57" s="50" t="n"/>
      <c r="F57" s="137" t="inlineStr">
        <is>
          <t>Conservative 3% of incremental revenue; historically stable</t>
        </is>
      </c>
      <c r="G57" s="50" t="n"/>
      <c r="H57" s="50" t="n"/>
      <c r="I57" s="50" t="n"/>
    </row>
    <row r="58" ht="22" customHeight="1">
      <c r="B58" s="10" t="inlineStr">
        <is>
          <t>SBC Adjustment Note</t>
        </is>
      </c>
      <c r="C58" s="144" t="inlineStr">
        <is>
          <t>NOTE</t>
        </is>
      </c>
      <c r="D58" s="145" t="inlineStr">
        <is>
          <t>SBC is ~3.9% of rev (FY2025)</t>
        </is>
      </c>
      <c r="F58" s="122" t="inlineStr">
        <is>
          <t>FCF includes SBC as non-cash add-back; GAAP FCF overstates "owner earnings"</t>
        </is>
      </c>
    </row>
    <row r="60" ht="20" customHeight="1">
      <c r="B60" s="49" t="inlineStr">
        <is>
          <t>F. BALANCE SHEET / EV BRIDGE ASSUMPTIONS</t>
        </is>
      </c>
    </row>
    <row r="61">
      <c r="B61" s="7" t="inlineStr">
        <is>
          <t>Assumption</t>
        </is>
      </c>
      <c r="C61" s="7" t="inlineStr">
        <is>
          <t>Value</t>
        </is>
      </c>
      <c r="F61" s="7" t="inlineStr">
        <is>
          <t>Source Type</t>
        </is>
      </c>
      <c r="G61" s="7" t="inlineStr">
        <is>
          <t>Notes / Rationale</t>
        </is>
      </c>
    </row>
    <row r="62" ht="22" customHeight="1">
      <c r="B62" s="8" t="inlineStr">
        <is>
          <t>Cash &amp; Equivalents (FY2025A)</t>
        </is>
      </c>
      <c r="C62" s="140" t="inlineStr">
        <is>
          <t>INPUT</t>
        </is>
      </c>
      <c r="D62" s="63" t="n">
        <v>5778</v>
      </c>
      <c r="E62" s="50" t="n"/>
      <c r="F62" s="137" t="inlineStr">
        <is>
          <t>From balance sheet; includes short-term investments</t>
        </is>
      </c>
      <c r="G62" s="50" t="n"/>
      <c r="H62" s="50" t="n"/>
      <c r="I62" s="50" t="n"/>
    </row>
    <row r="63" ht="22" customHeight="1">
      <c r="B63" s="10" t="inlineStr">
        <is>
          <t>Total Debt (FY2025A)</t>
        </is>
      </c>
      <c r="C63" s="141" t="inlineStr">
        <is>
          <t>INPUT</t>
        </is>
      </c>
      <c r="D63" s="65" t="n">
        <v>188</v>
      </c>
      <c r="F63" s="122" t="inlineStr">
        <is>
          <t>Near-debt-free; convertible notes essentially zero after FY2025 repayment</t>
        </is>
      </c>
    </row>
    <row r="64" ht="22" customHeight="1">
      <c r="B64" s="8" t="inlineStr">
        <is>
          <t>Net Cash / (Net Debt)</t>
        </is>
      </c>
      <c r="C64" s="143" t="inlineStr">
        <is>
          <t>FORMULA</t>
        </is>
      </c>
      <c r="D64" s="64" t="n">
        <v>5590</v>
      </c>
      <c r="E64" s="50" t="n"/>
      <c r="F64" s="137">
        <f> Cash - Debt; positive net cash adds to equity value</f>
        <v/>
      </c>
      <c r="G64" s="50" t="n"/>
      <c r="H64" s="50" t="n"/>
      <c r="I64" s="50" t="n"/>
    </row>
    <row r="65" ht="22" customHeight="1">
      <c r="B65" s="10" t="inlineStr">
        <is>
          <t>Diluted Shares Outstanding (M)</t>
        </is>
      </c>
      <c r="C65" s="141" t="inlineStr">
        <is>
          <t>INPUT</t>
        </is>
      </c>
      <c r="D65" s="65" t="n">
        <v>1305</v>
      </c>
      <c r="F65" s="122" t="inlineStr">
        <is>
          <t>Source: SHOP valuation CSV; includes diluted options/RSUs</t>
        </is>
      </c>
    </row>
    <row r="66" ht="22" customHeight="1">
      <c r="B66" s="8" t="inlineStr">
        <is>
          <t>Minority Interest</t>
        </is>
      </c>
      <c r="C66" s="140" t="inlineStr">
        <is>
          <t>INPUT</t>
        </is>
      </c>
      <c r="D66" s="63" t="n">
        <v>0</v>
      </c>
      <c r="E66" s="50" t="n"/>
      <c r="F66" s="137" t="inlineStr">
        <is>
          <t>None material</t>
        </is>
      </c>
      <c r="G66" s="50" t="n"/>
      <c r="H66" s="50" t="n"/>
      <c r="I66" s="50" t="n"/>
    </row>
    <row r="67" ht="22" customHeight="1">
      <c r="B67" s="10" t="inlineStr">
        <is>
          <t>Preferred Equity</t>
        </is>
      </c>
      <c r="C67" s="141" t="inlineStr">
        <is>
          <t>INPUT</t>
        </is>
      </c>
      <c r="D67" s="65" t="n">
        <v>0</v>
      </c>
      <c r="F67" s="122" t="inlineStr">
        <is>
          <t>None outstanding</t>
        </is>
      </c>
    </row>
    <row r="68" ht="22" customHeight="1">
      <c r="B68" s="8" t="inlineStr">
        <is>
          <t>Share Repurchase Assumption</t>
        </is>
      </c>
      <c r="C68" s="146" t="inlineStr">
        <is>
          <t>NOTE</t>
        </is>
      </c>
      <c r="D68" s="147" t="inlineStr">
        <is>
          <t>$2B buyback authorized (Feb 2026)</t>
        </is>
      </c>
      <c r="E68" s="50" t="n"/>
      <c r="F68" s="137" t="inlineStr">
        <is>
          <t>Modeled conservatively as 0 shares retired in base case; upside in bull</t>
        </is>
      </c>
      <c r="G68" s="50" t="n"/>
      <c r="H68" s="50" t="n"/>
      <c r="I68" s="50" t="n"/>
    </row>
    <row r="70" ht="20" customHeight="1">
      <c r="B70" s="49" t="inlineStr">
        <is>
          <t>G. COMPARABLE COMPANIES ASSUMPTIONS</t>
        </is>
      </c>
    </row>
    <row r="71">
      <c r="B71" s="7" t="inlineStr">
        <is>
          <t>Assumption</t>
        </is>
      </c>
      <c r="C71" s="7" t="inlineStr">
        <is>
          <t>Value</t>
        </is>
      </c>
      <c r="F71" s="7" t="inlineStr">
        <is>
          <t>Source Type</t>
        </is>
      </c>
      <c r="G71" s="7" t="inlineStr">
        <is>
          <t>Notes / Rationale</t>
        </is>
      </c>
    </row>
    <row r="72" ht="22" customHeight="1">
      <c r="B72" s="8" t="inlineStr">
        <is>
          <t>Peer Median P/S (NTM)</t>
        </is>
      </c>
      <c r="C72" s="140" t="inlineStr">
        <is>
          <t>INPUT</t>
        </is>
      </c>
      <c r="D72" s="90" t="n">
        <v>3.5</v>
      </c>
      <c r="E72" s="50" t="n"/>
      <c r="F72" s="137" t="inlineStr">
        <is>
          <t>Median of AMZN, ADBE, CRM, SQ, MELI, SE, TWLO, WIX</t>
        </is>
      </c>
      <c r="G72" s="50" t="n"/>
      <c r="H72" s="50" t="n"/>
      <c r="I72" s="50" t="n"/>
    </row>
    <row r="73" ht="22" customHeight="1">
      <c r="B73" s="10" t="inlineStr">
        <is>
          <t>Peer Median EV/EBITDA (NTM)</t>
        </is>
      </c>
      <c r="C73" s="141" t="inlineStr">
        <is>
          <t>INPUT</t>
        </is>
      </c>
      <c r="D73" s="93" t="n">
        <v>22</v>
      </c>
      <c r="F73" s="122" t="inlineStr">
        <is>
          <t>Excluding outliers; reflects commerce/SaaS median</t>
        </is>
      </c>
    </row>
    <row r="74" ht="22" customHeight="1">
      <c r="B74" s="8" t="inlineStr">
        <is>
          <t>Peer Median P/E (NTM)</t>
        </is>
      </c>
      <c r="C74" s="140" t="inlineStr">
        <is>
          <t>INPUT</t>
        </is>
      </c>
      <c r="D74" s="90" t="n">
        <v>50</v>
      </c>
      <c r="E74" s="50" t="n"/>
      <c r="F74" s="137" t="inlineStr">
        <is>
          <t>Used for reference only; GAAP EPS distorted by SBC</t>
        </is>
      </c>
      <c r="G74" s="50" t="n"/>
      <c r="H74" s="50" t="n"/>
      <c r="I74" s="50" t="n"/>
    </row>
    <row r="75" ht="22" customHeight="1">
      <c r="B75" s="10" t="inlineStr">
        <is>
          <t>Premium P/S Applied to SHOP</t>
        </is>
      </c>
      <c r="C75" s="141" t="inlineStr">
        <is>
          <t>INPUT</t>
        </is>
      </c>
      <c r="D75" s="93" t="n">
        <v>5.5</v>
      </c>
      <c r="F75" s="122" t="inlineStr">
        <is>
          <t>SHOP growth (31%) vs peer median (11%) justifies ~1.6x multiple premium</t>
        </is>
      </c>
    </row>
    <row r="76" ht="22" customHeight="1">
      <c r="B76" s="8" t="inlineStr">
        <is>
          <t>Growth-Multiple Premium Rationale</t>
        </is>
      </c>
      <c r="C76" s="146" t="inlineStr">
        <is>
          <t>NOTE</t>
        </is>
      </c>
      <c r="D76" s="147" t="inlineStr">
        <is>
          <t>2.8x revenue growth premium</t>
        </is>
      </c>
      <c r="E76" s="50" t="n"/>
      <c r="F76" s="137" t="inlineStr">
        <is>
          <t>SHOP Rev growth 31% / Peer median 11% = 2.8x; discounted to 1.6x premium applied</t>
        </is>
      </c>
      <c r="G76" s="50" t="n"/>
      <c r="H76" s="50" t="n"/>
      <c r="I76" s="50" t="n"/>
    </row>
  </sheetData>
  <mergeCells count="8">
    <mergeCell ref="B70:I70"/>
    <mergeCell ref="B6:I6"/>
    <mergeCell ref="B2:I3"/>
    <mergeCell ref="B28:I28"/>
    <mergeCell ref="B19:I19"/>
    <mergeCell ref="B37:I37"/>
    <mergeCell ref="B60:I60"/>
    <mergeCell ref="B49:I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2026-05-23T07:48:06Z</dcterms:created>
  <dcterms:modified xmlns:dcterms="http://purl.org/dc/terms/" xmlns:xsi="http://www.w3.org/2001/XMLSchema-instance" xsi:type="dcterms:W3CDTF">2026-05-23T07:53:19Z</dcterms:modified>
</cp:coreProperties>
</file>